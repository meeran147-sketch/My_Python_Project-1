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varsh\Downloads\"/>
    </mc:Choice>
  </mc:AlternateContent>
  <xr:revisionPtr revIDLastSave="0" documentId="13_ncr:1_{669ADF7D-A8C6-4201-963D-C948C2B9B2AE}" xr6:coauthVersionLast="47" xr6:coauthVersionMax="47" xr10:uidLastSave="{00000000-0000-0000-0000-000000000000}"/>
  <bookViews>
    <workbookView xWindow="-108" yWindow="-108" windowWidth="23256" windowHeight="12456" activeTab="2" xr2:uid="{00000000-000D-0000-FFFF-FFFF00000000}"/>
  </bookViews>
  <sheets>
    <sheet name="PIVOT TABLE" sheetId="4" r:id="rId1"/>
    <sheet name="DATA SET" sheetId="1" r:id="rId2"/>
    <sheet name="DASHBOARD" sheetId="2" r:id="rId3"/>
  </sheets>
  <definedNames>
    <definedName name="Slicer_Month">#N/A</definedName>
    <definedName name="Slicer_Product_Name">#N/A</definedName>
    <definedName name="Slicer_Store_Location">#N/A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4" i="2" l="1"/>
  <c r="K46" i="2"/>
  <c r="C35" i="2"/>
  <c r="F42" i="2"/>
  <c r="H37" i="2"/>
  <c r="F35" i="2"/>
  <c r="D35" i="2" l="1"/>
  <c r="L46" i="2"/>
  <c r="L34" i="2"/>
  <c r="I37" i="2"/>
</calcChain>
</file>

<file path=xl/sharedStrings.xml><?xml version="1.0" encoding="utf-8"?>
<sst xmlns="http://schemas.openxmlformats.org/spreadsheetml/2006/main" count="7137" uniqueCount="792">
  <si>
    <t>Transaction ID</t>
  </si>
  <si>
    <t>Date</t>
  </si>
  <si>
    <t>Time</t>
  </si>
  <si>
    <t>Month</t>
  </si>
  <si>
    <t>Day Name</t>
  </si>
  <si>
    <t>Store Location</t>
  </si>
  <si>
    <t>Product Category</t>
  </si>
  <si>
    <t>Product Name</t>
  </si>
  <si>
    <t>Quantity</t>
  </si>
  <si>
    <t>Unit Price</t>
  </si>
  <si>
    <t>Total Sales</t>
  </si>
  <si>
    <t>2024-01-17</t>
  </si>
  <si>
    <t>09:53</t>
  </si>
  <si>
    <t>January</t>
  </si>
  <si>
    <t>Wednesday</t>
  </si>
  <si>
    <t>Hell's Kitchen</t>
  </si>
  <si>
    <t>Tea</t>
  </si>
  <si>
    <t>Black Tea</t>
  </si>
  <si>
    <t>2024-01-15</t>
  </si>
  <si>
    <t>16:56</t>
  </si>
  <si>
    <t>Monday</t>
  </si>
  <si>
    <t>Lower Manhattan</t>
  </si>
  <si>
    <t>Drinking Chocolate</t>
  </si>
  <si>
    <t>Hot Chocolate</t>
  </si>
  <si>
    <t>2024-03-29</t>
  </si>
  <si>
    <t>14:40</t>
  </si>
  <si>
    <t>March</t>
  </si>
  <si>
    <t>Friday</t>
  </si>
  <si>
    <t>Astoria</t>
  </si>
  <si>
    <t>Coffee</t>
  </si>
  <si>
    <t>Espresso</t>
  </si>
  <si>
    <t>2024-06-13</t>
  </si>
  <si>
    <t>14:59</t>
  </si>
  <si>
    <t>June</t>
  </si>
  <si>
    <t>Thursday</t>
  </si>
  <si>
    <t>Green Tea</t>
  </si>
  <si>
    <t>2024-04-02</t>
  </si>
  <si>
    <t>18:09</t>
  </si>
  <si>
    <t>April</t>
  </si>
  <si>
    <t>Tuesday</t>
  </si>
  <si>
    <t>2024-02-08</t>
  </si>
  <si>
    <t>13:35</t>
  </si>
  <si>
    <t>February</t>
  </si>
  <si>
    <t>Cappuccino</t>
  </si>
  <si>
    <t>2024-02-22</t>
  </si>
  <si>
    <t>11:00</t>
  </si>
  <si>
    <t>2024-05-31</t>
  </si>
  <si>
    <t>16:34</t>
  </si>
  <si>
    <t>May</t>
  </si>
  <si>
    <t>2024-04-06</t>
  </si>
  <si>
    <t>15:54</t>
  </si>
  <si>
    <t>Saturday</t>
  </si>
  <si>
    <t>Latte</t>
  </si>
  <si>
    <t>2024-04-03</t>
  </si>
  <si>
    <t>17:40</t>
  </si>
  <si>
    <t>2024-04-01</t>
  </si>
  <si>
    <t>07:35</t>
  </si>
  <si>
    <t>Americano</t>
  </si>
  <si>
    <t>2024-02-28</t>
  </si>
  <si>
    <t>09:40</t>
  </si>
  <si>
    <t>2024-06-18</t>
  </si>
  <si>
    <t>09:45</t>
  </si>
  <si>
    <t>2024-06-11</t>
  </si>
  <si>
    <t>10:47</t>
  </si>
  <si>
    <t>2024-05-28</t>
  </si>
  <si>
    <t>17:37</t>
  </si>
  <si>
    <t>2024-02-06</t>
  </si>
  <si>
    <t>07:02</t>
  </si>
  <si>
    <t>2024-01-26</t>
  </si>
  <si>
    <t>12:21</t>
  </si>
  <si>
    <t>Bakery</t>
  </si>
  <si>
    <t>Croissant</t>
  </si>
  <si>
    <t>2024-01-23</t>
  </si>
  <si>
    <t>14:45</t>
  </si>
  <si>
    <t>2024-06-28</t>
  </si>
  <si>
    <t>15:58</t>
  </si>
  <si>
    <t>Chai Tea</t>
  </si>
  <si>
    <t>2024-04-28</t>
  </si>
  <si>
    <t>07:12</t>
  </si>
  <si>
    <t>Sunday</t>
  </si>
  <si>
    <t>2024-02-01</t>
  </si>
  <si>
    <t>17:38</t>
  </si>
  <si>
    <t>2024-05-06</t>
  </si>
  <si>
    <t>18:33</t>
  </si>
  <si>
    <t>2024-03-10</t>
  </si>
  <si>
    <t>12:10</t>
  </si>
  <si>
    <t>2024-03-20</t>
  </si>
  <si>
    <t>07:14</t>
  </si>
  <si>
    <t>2024-02-13</t>
  </si>
  <si>
    <t>09:02</t>
  </si>
  <si>
    <t>Bagel</t>
  </si>
  <si>
    <t>2024-03-09</t>
  </si>
  <si>
    <t>11:21</t>
  </si>
  <si>
    <t>2024-01-09</t>
  </si>
  <si>
    <t>10:15</t>
  </si>
  <si>
    <t>Muffin</t>
  </si>
  <si>
    <t>2024-03-17</t>
  </si>
  <si>
    <t>08:47</t>
  </si>
  <si>
    <t>2024-04-12</t>
  </si>
  <si>
    <t>11:35</t>
  </si>
  <si>
    <t>2024-05-25</t>
  </si>
  <si>
    <t>14:34</t>
  </si>
  <si>
    <t>2024-06-19</t>
  </si>
  <si>
    <t>14:28</t>
  </si>
  <si>
    <t>2024-02-27</t>
  </si>
  <si>
    <t>17:09</t>
  </si>
  <si>
    <t>2024-03-19</t>
  </si>
  <si>
    <t>10:01</t>
  </si>
  <si>
    <t>2024-04-07</t>
  </si>
  <si>
    <t>15:51</t>
  </si>
  <si>
    <t>2024-03-16</t>
  </si>
  <si>
    <t>09:39</t>
  </si>
  <si>
    <t>2024-05-08</t>
  </si>
  <si>
    <t>12:11</t>
  </si>
  <si>
    <t>2024-03-04</t>
  </si>
  <si>
    <t>15:35</t>
  </si>
  <si>
    <t>2024-03-01</t>
  </si>
  <si>
    <t>11:41</t>
  </si>
  <si>
    <t>2024-02-09</t>
  </si>
  <si>
    <t>20:00</t>
  </si>
  <si>
    <t>2024-06-24</t>
  </si>
  <si>
    <t>12:26</t>
  </si>
  <si>
    <t>2024-06-22</t>
  </si>
  <si>
    <t>13:44</t>
  </si>
  <si>
    <t>2024-05-22</t>
  </si>
  <si>
    <t>08:32</t>
  </si>
  <si>
    <t>2024-03-27</t>
  </si>
  <si>
    <t>13:14</t>
  </si>
  <si>
    <t>2024-01-04</t>
  </si>
  <si>
    <t>07:24</t>
  </si>
  <si>
    <t>2024-03-11</t>
  </si>
  <si>
    <t>15:02</t>
  </si>
  <si>
    <t>2024-03-12</t>
  </si>
  <si>
    <t>14:36</t>
  </si>
  <si>
    <t>13:20</t>
  </si>
  <si>
    <t>2024-03-03</t>
  </si>
  <si>
    <t>11:13</t>
  </si>
  <si>
    <t>2024-06-29</t>
  </si>
  <si>
    <t>17:13</t>
  </si>
  <si>
    <t>2024-04-22</t>
  </si>
  <si>
    <t>08:57</t>
  </si>
  <si>
    <t>2024-05-29</t>
  </si>
  <si>
    <t>15:55</t>
  </si>
  <si>
    <t>17:56</t>
  </si>
  <si>
    <t>14:10</t>
  </si>
  <si>
    <t>2024-02-04</t>
  </si>
  <si>
    <t>15:14</t>
  </si>
  <si>
    <t>2024-03-14</t>
  </si>
  <si>
    <t>13:22</t>
  </si>
  <si>
    <t>08:44</t>
  </si>
  <si>
    <t>10:56</t>
  </si>
  <si>
    <t>2024-01-25</t>
  </si>
  <si>
    <t>16:53</t>
  </si>
  <si>
    <t>2024-01-03</t>
  </si>
  <si>
    <t>08:41</t>
  </si>
  <si>
    <t>15:15</t>
  </si>
  <si>
    <t>2024-03-06</t>
  </si>
  <si>
    <t>19:41</t>
  </si>
  <si>
    <t>2024-01-05</t>
  </si>
  <si>
    <t>14:25</t>
  </si>
  <si>
    <t>2024-06-17</t>
  </si>
  <si>
    <t>11:06</t>
  </si>
  <si>
    <t>2024-06-20</t>
  </si>
  <si>
    <t>10:14</t>
  </si>
  <si>
    <t>2024-04-14</t>
  </si>
  <si>
    <t>13:07</t>
  </si>
  <si>
    <t>2024-05-05</t>
  </si>
  <si>
    <t>08:45</t>
  </si>
  <si>
    <t>15:05</t>
  </si>
  <si>
    <t>2024-05-13</t>
  </si>
  <si>
    <t>09:47</t>
  </si>
  <si>
    <t>2024-01-21</t>
  </si>
  <si>
    <t>16:52</t>
  </si>
  <si>
    <t>07:16</t>
  </si>
  <si>
    <t>14:58</t>
  </si>
  <si>
    <t>2024-05-11</t>
  </si>
  <si>
    <t>11:26</t>
  </si>
  <si>
    <t>18:47</t>
  </si>
  <si>
    <t>2024-03-30</t>
  </si>
  <si>
    <t>16:08</t>
  </si>
  <si>
    <t>08:13</t>
  </si>
  <si>
    <t>2024-03-18</t>
  </si>
  <si>
    <t>13:00</t>
  </si>
  <si>
    <t>2024-05-02</t>
  </si>
  <si>
    <t>15:37</t>
  </si>
  <si>
    <t>2024-01-30</t>
  </si>
  <si>
    <t>12:04</t>
  </si>
  <si>
    <t>09:54</t>
  </si>
  <si>
    <t>14:46</t>
  </si>
  <si>
    <t>10:12</t>
  </si>
  <si>
    <t>2024-04-24</t>
  </si>
  <si>
    <t>19:17</t>
  </si>
  <si>
    <t>2024-01-19</t>
  </si>
  <si>
    <t>09:07</t>
  </si>
  <si>
    <t>2024-04-13</t>
  </si>
  <si>
    <t>15:10</t>
  </si>
  <si>
    <t>14:43</t>
  </si>
  <si>
    <t>2024-06-16</t>
  </si>
  <si>
    <t>14:13</t>
  </si>
  <si>
    <t>2024-01-07</t>
  </si>
  <si>
    <t>12:41</t>
  </si>
  <si>
    <t>2024-05-01</t>
  </si>
  <si>
    <t>14:03</t>
  </si>
  <si>
    <t>2024-02-10</t>
  </si>
  <si>
    <t>19:14</t>
  </si>
  <si>
    <t>2024-04-27</t>
  </si>
  <si>
    <t>2024-06-14</t>
  </si>
  <si>
    <t>16:17</t>
  </si>
  <si>
    <t>2024-02-15</t>
  </si>
  <si>
    <t>12:32</t>
  </si>
  <si>
    <t>2024-04-18</t>
  </si>
  <si>
    <t>2024-02-23</t>
  </si>
  <si>
    <t>18:42</t>
  </si>
  <si>
    <t>2024-01-08</t>
  </si>
  <si>
    <t>10:23</t>
  </si>
  <si>
    <t>2024-04-15</t>
  </si>
  <si>
    <t>12:29</t>
  </si>
  <si>
    <t>14:49</t>
  </si>
  <si>
    <t>2024-04-29</t>
  </si>
  <si>
    <t>13:16</t>
  </si>
  <si>
    <t>18:51</t>
  </si>
  <si>
    <t>2024-01-18</t>
  </si>
  <si>
    <t>13:49</t>
  </si>
  <si>
    <t>11:04</t>
  </si>
  <si>
    <t>2024-06-05</t>
  </si>
  <si>
    <t>14:06</t>
  </si>
  <si>
    <t>09:46</t>
  </si>
  <si>
    <t>13:58</t>
  </si>
  <si>
    <t>16:51</t>
  </si>
  <si>
    <t>2024-05-26</t>
  </si>
  <si>
    <t>08:56</t>
  </si>
  <si>
    <t>15:06</t>
  </si>
  <si>
    <t>2024-02-17</t>
  </si>
  <si>
    <t>07:05</t>
  </si>
  <si>
    <t>2024-06-01</t>
  </si>
  <si>
    <t>12:54</t>
  </si>
  <si>
    <t>2024-02-11</t>
  </si>
  <si>
    <t>19:21</t>
  </si>
  <si>
    <t>2024-04-04</t>
  </si>
  <si>
    <t>09:04</t>
  </si>
  <si>
    <t>2024-05-20</t>
  </si>
  <si>
    <t>14:39</t>
  </si>
  <si>
    <t>12:25</t>
  </si>
  <si>
    <t>2024-05-14</t>
  </si>
  <si>
    <t>18:18</t>
  </si>
  <si>
    <t>09:14</t>
  </si>
  <si>
    <t>2024-06-25</t>
  </si>
  <si>
    <t>12:09</t>
  </si>
  <si>
    <t>2024-05-12</t>
  </si>
  <si>
    <t>12:19</t>
  </si>
  <si>
    <t>2024-02-19</t>
  </si>
  <si>
    <t>07:10</t>
  </si>
  <si>
    <t>14:31</t>
  </si>
  <si>
    <t>2024-01-28</t>
  </si>
  <si>
    <t>18:41</t>
  </si>
  <si>
    <t>08:00</t>
  </si>
  <si>
    <t>2024-06-07</t>
  </si>
  <si>
    <t>09:22</t>
  </si>
  <si>
    <t>2024-04-17</t>
  </si>
  <si>
    <t>19:13</t>
  </si>
  <si>
    <t>12:30</t>
  </si>
  <si>
    <t>10:03</t>
  </si>
  <si>
    <t>2024-06-04</t>
  </si>
  <si>
    <t>08:36</t>
  </si>
  <si>
    <t>2024-03-02</t>
  </si>
  <si>
    <t>12:31</t>
  </si>
  <si>
    <t>07:28</t>
  </si>
  <si>
    <t>11:52</t>
  </si>
  <si>
    <t>2024-06-08</t>
  </si>
  <si>
    <t>2024-03-24</t>
  </si>
  <si>
    <t>2024-06-06</t>
  </si>
  <si>
    <t>14:51</t>
  </si>
  <si>
    <t>2024-06-23</t>
  </si>
  <si>
    <t>11:55</t>
  </si>
  <si>
    <t>2024-02-05</t>
  </si>
  <si>
    <t>07:23</t>
  </si>
  <si>
    <t>13:40</t>
  </si>
  <si>
    <t>08:58</t>
  </si>
  <si>
    <t>11:59</t>
  </si>
  <si>
    <t>12:59</t>
  </si>
  <si>
    <t>19:50</t>
  </si>
  <si>
    <t>14:18</t>
  </si>
  <si>
    <t>11:29</t>
  </si>
  <si>
    <t>07:56</t>
  </si>
  <si>
    <t>2024-04-05</t>
  </si>
  <si>
    <t>17:42</t>
  </si>
  <si>
    <t>08:11</t>
  </si>
  <si>
    <t>2024-02-03</t>
  </si>
  <si>
    <t>10:24</t>
  </si>
  <si>
    <t>08:51</t>
  </si>
  <si>
    <t>2024-06-10</t>
  </si>
  <si>
    <t>10:39</t>
  </si>
  <si>
    <t>11:56</t>
  </si>
  <si>
    <t>2024-05-16</t>
  </si>
  <si>
    <t>08:39</t>
  </si>
  <si>
    <t>2024-01-22</t>
  </si>
  <si>
    <t>18:07</t>
  </si>
  <si>
    <t>2024-02-21</t>
  </si>
  <si>
    <t>09:26</t>
  </si>
  <si>
    <t>08:55</t>
  </si>
  <si>
    <t>2024-01-14</t>
  </si>
  <si>
    <t>2024-06-12</t>
  </si>
  <si>
    <t>09:13</t>
  </si>
  <si>
    <t>2024-03-13</t>
  </si>
  <si>
    <t>12:44</t>
  </si>
  <si>
    <t>2024-05-23</t>
  </si>
  <si>
    <t>19:44</t>
  </si>
  <si>
    <t>08:29</t>
  </si>
  <si>
    <t>2024-02-16</t>
  </si>
  <si>
    <t>12:43</t>
  </si>
  <si>
    <t>2024-05-21</t>
  </si>
  <si>
    <t>10:21</t>
  </si>
  <si>
    <t>2024-02-25</t>
  </si>
  <si>
    <t>19:18</t>
  </si>
  <si>
    <t>07:33</t>
  </si>
  <si>
    <t>2024-05-07</t>
  </si>
  <si>
    <t>19:27</t>
  </si>
  <si>
    <t>19:09</t>
  </si>
  <si>
    <t>11:37</t>
  </si>
  <si>
    <t>2024-03-05</t>
  </si>
  <si>
    <t>07:43</t>
  </si>
  <si>
    <t>2024-06-03</t>
  </si>
  <si>
    <t>18:44</t>
  </si>
  <si>
    <t>2024-01-06</t>
  </si>
  <si>
    <t>17:26</t>
  </si>
  <si>
    <t>2024-04-26</t>
  </si>
  <si>
    <t>2024-06-02</t>
  </si>
  <si>
    <t>19:00</t>
  </si>
  <si>
    <t>2024-03-28</t>
  </si>
  <si>
    <t>17:23</t>
  </si>
  <si>
    <t>11:15</t>
  </si>
  <si>
    <t>11:24</t>
  </si>
  <si>
    <t>14:26</t>
  </si>
  <si>
    <t>17:36</t>
  </si>
  <si>
    <t>2024-04-10</t>
  </si>
  <si>
    <t>19:40</t>
  </si>
  <si>
    <t>15:48</t>
  </si>
  <si>
    <t>07:08</t>
  </si>
  <si>
    <t>19:42</t>
  </si>
  <si>
    <t>14:15</t>
  </si>
  <si>
    <t>2024-03-26</t>
  </si>
  <si>
    <t>16:11</t>
  </si>
  <si>
    <t>13:47</t>
  </si>
  <si>
    <t>08:33</t>
  </si>
  <si>
    <t>16:38</t>
  </si>
  <si>
    <t>12:51</t>
  </si>
  <si>
    <t>2024-05-04</t>
  </si>
  <si>
    <t>14:27</t>
  </si>
  <si>
    <t>2024-01-10</t>
  </si>
  <si>
    <t>12:05</t>
  </si>
  <si>
    <t>2024-05-18</t>
  </si>
  <si>
    <t>07:30</t>
  </si>
  <si>
    <t>13:56</t>
  </si>
  <si>
    <t>2024-02-02</t>
  </si>
  <si>
    <t>13:55</t>
  </si>
  <si>
    <t>2024-04-30</t>
  </si>
  <si>
    <t>16:10</t>
  </si>
  <si>
    <t>10:41</t>
  </si>
  <si>
    <t>2024-04-16</t>
  </si>
  <si>
    <t>10:22</t>
  </si>
  <si>
    <t>18:32</t>
  </si>
  <si>
    <t>19:31</t>
  </si>
  <si>
    <t>08:40</t>
  </si>
  <si>
    <t>2024-03-21</t>
  </si>
  <si>
    <t>18:38</t>
  </si>
  <si>
    <t>09:00</t>
  </si>
  <si>
    <t>2024-04-20</t>
  </si>
  <si>
    <t>11:58</t>
  </si>
  <si>
    <t>2024-04-19</t>
  </si>
  <si>
    <t>15:33</t>
  </si>
  <si>
    <t>08:59</t>
  </si>
  <si>
    <t>2024-01-01</t>
  </si>
  <si>
    <t>2024-02-29</t>
  </si>
  <si>
    <t>14:14</t>
  </si>
  <si>
    <t>15:30</t>
  </si>
  <si>
    <t>2024-02-12</t>
  </si>
  <si>
    <t>19:15</t>
  </si>
  <si>
    <t>07:21</t>
  </si>
  <si>
    <t>2024-05-09</t>
  </si>
  <si>
    <t>19:24</t>
  </si>
  <si>
    <t>14:19</t>
  </si>
  <si>
    <t>19:07</t>
  </si>
  <si>
    <t>11:18</t>
  </si>
  <si>
    <t>18:08</t>
  </si>
  <si>
    <t>2024-02-07</t>
  </si>
  <si>
    <t>08:50</t>
  </si>
  <si>
    <t>14:32</t>
  </si>
  <si>
    <t>2024-04-08</t>
  </si>
  <si>
    <t>16:55</t>
  </si>
  <si>
    <t>19:26</t>
  </si>
  <si>
    <t>18:01</t>
  </si>
  <si>
    <t>12:42</t>
  </si>
  <si>
    <t>13:38</t>
  </si>
  <si>
    <t>09:03</t>
  </si>
  <si>
    <t>08:22</t>
  </si>
  <si>
    <t>07:57</t>
  </si>
  <si>
    <t>09:16</t>
  </si>
  <si>
    <t>11:01</t>
  </si>
  <si>
    <t>18:06</t>
  </si>
  <si>
    <t>17:45</t>
  </si>
  <si>
    <t>10:11</t>
  </si>
  <si>
    <t>17:15</t>
  </si>
  <si>
    <t>18:48</t>
  </si>
  <si>
    <t>15:18</t>
  </si>
  <si>
    <t>07:27</t>
  </si>
  <si>
    <t>11:10</t>
  </si>
  <si>
    <t>17:29</t>
  </si>
  <si>
    <t>11:23</t>
  </si>
  <si>
    <t>09:06</t>
  </si>
  <si>
    <t>2024-04-09</t>
  </si>
  <si>
    <t>18:19</t>
  </si>
  <si>
    <t>13:30</t>
  </si>
  <si>
    <t>15:13</t>
  </si>
  <si>
    <t>07:58</t>
  </si>
  <si>
    <t>19:08</t>
  </si>
  <si>
    <t>2024-05-30</t>
  </si>
  <si>
    <t>15:46</t>
  </si>
  <si>
    <t>08:20</t>
  </si>
  <si>
    <t>2024-02-14</t>
  </si>
  <si>
    <t>09:49</t>
  </si>
  <si>
    <t>13:06</t>
  </si>
  <si>
    <t>07:13</t>
  </si>
  <si>
    <t>2024-01-20</t>
  </si>
  <si>
    <t>09:10</t>
  </si>
  <si>
    <t>18:03</t>
  </si>
  <si>
    <t>18:27</t>
  </si>
  <si>
    <t>08:07</t>
  </si>
  <si>
    <t>12:36</t>
  </si>
  <si>
    <t>2024-01-29</t>
  </si>
  <si>
    <t>10:16</t>
  </si>
  <si>
    <t>09:31</t>
  </si>
  <si>
    <t>11:39</t>
  </si>
  <si>
    <t>11:44</t>
  </si>
  <si>
    <t>15:04</t>
  </si>
  <si>
    <t>13:02</t>
  </si>
  <si>
    <t>14:55</t>
  </si>
  <si>
    <t>13:45</t>
  </si>
  <si>
    <t>19:16</t>
  </si>
  <si>
    <t>16:28</t>
  </si>
  <si>
    <t>14:41</t>
  </si>
  <si>
    <t>07:42</t>
  </si>
  <si>
    <t>17:31</t>
  </si>
  <si>
    <t>10:13</t>
  </si>
  <si>
    <t>2024-02-18</t>
  </si>
  <si>
    <t>19:57</t>
  </si>
  <si>
    <t>2024-01-27</t>
  </si>
  <si>
    <t>17:14</t>
  </si>
  <si>
    <t>2024-04-23</t>
  </si>
  <si>
    <t>16:02</t>
  </si>
  <si>
    <t>09:24</t>
  </si>
  <si>
    <t>10:37</t>
  </si>
  <si>
    <t>11:49</t>
  </si>
  <si>
    <t>15:53</t>
  </si>
  <si>
    <t>13:09</t>
  </si>
  <si>
    <t>2024-03-22</t>
  </si>
  <si>
    <t>12:53</t>
  </si>
  <si>
    <t>10:34</t>
  </si>
  <si>
    <t>12:27</t>
  </si>
  <si>
    <t>13:41</t>
  </si>
  <si>
    <t>2024-01-02</t>
  </si>
  <si>
    <t>10:43</t>
  </si>
  <si>
    <t>14:52</t>
  </si>
  <si>
    <t>12:07</t>
  </si>
  <si>
    <t>12:03</t>
  </si>
  <si>
    <t>2024-05-15</t>
  </si>
  <si>
    <t>2024-02-24</t>
  </si>
  <si>
    <t>14:53</t>
  </si>
  <si>
    <t>15:40</t>
  </si>
  <si>
    <t>18:15</t>
  </si>
  <si>
    <t>2024-06-09</t>
  </si>
  <si>
    <t>13:31</t>
  </si>
  <si>
    <t>10:53</t>
  </si>
  <si>
    <t>18:04</t>
  </si>
  <si>
    <t>2024-06-21</t>
  </si>
  <si>
    <t>12:16</t>
  </si>
  <si>
    <t>2024-05-17</t>
  </si>
  <si>
    <t>15:49</t>
  </si>
  <si>
    <t>10:18</t>
  </si>
  <si>
    <t>2024-01-12</t>
  </si>
  <si>
    <t>11:08</t>
  </si>
  <si>
    <t>2024-01-24</t>
  </si>
  <si>
    <t>13:46</t>
  </si>
  <si>
    <t>17:16</t>
  </si>
  <si>
    <t>11:32</t>
  </si>
  <si>
    <t>18:39</t>
  </si>
  <si>
    <t>11:07</t>
  </si>
  <si>
    <t>16:18</t>
  </si>
  <si>
    <t>2024-03-25</t>
  </si>
  <si>
    <t>2024-06-26</t>
  </si>
  <si>
    <t>2024-03-08</t>
  </si>
  <si>
    <t>17:47</t>
  </si>
  <si>
    <t>09:11</t>
  </si>
  <si>
    <t>19:19</t>
  </si>
  <si>
    <t>12:57</t>
  </si>
  <si>
    <t>07:55</t>
  </si>
  <si>
    <t>15:17</t>
  </si>
  <si>
    <t>12:45</t>
  </si>
  <si>
    <t>07:39</t>
  </si>
  <si>
    <t>15:27</t>
  </si>
  <si>
    <t>2024-05-24</t>
  </si>
  <si>
    <t>11:47</t>
  </si>
  <si>
    <t>13:43</t>
  </si>
  <si>
    <t>2024-03-23</t>
  </si>
  <si>
    <t>17:53</t>
  </si>
  <si>
    <t>08:38</t>
  </si>
  <si>
    <t>2024-02-20</t>
  </si>
  <si>
    <t>16:44</t>
  </si>
  <si>
    <t>07:53</t>
  </si>
  <si>
    <t>13:21</t>
  </si>
  <si>
    <t>10:04</t>
  </si>
  <si>
    <t>16:00</t>
  </si>
  <si>
    <t>07:06</t>
  </si>
  <si>
    <t>07:29</t>
  </si>
  <si>
    <t>16:37</t>
  </si>
  <si>
    <t>13:26</t>
  </si>
  <si>
    <t>10:06</t>
  </si>
  <si>
    <t>2024-01-16</t>
  </si>
  <si>
    <t>07:52</t>
  </si>
  <si>
    <t>14:48</t>
  </si>
  <si>
    <t>07:45</t>
  </si>
  <si>
    <t>17:49</t>
  </si>
  <si>
    <t>14:44</t>
  </si>
  <si>
    <t>09:15</t>
  </si>
  <si>
    <t>16:41</t>
  </si>
  <si>
    <t>08:02</t>
  </si>
  <si>
    <t>2024-06-27</t>
  </si>
  <si>
    <t>08:54</t>
  </si>
  <si>
    <t>08:01</t>
  </si>
  <si>
    <t>13:50</t>
  </si>
  <si>
    <t>19:49</t>
  </si>
  <si>
    <t>10:49</t>
  </si>
  <si>
    <t>18:24</t>
  </si>
  <si>
    <t>17:55</t>
  </si>
  <si>
    <t>19:23</t>
  </si>
  <si>
    <t>13:48</t>
  </si>
  <si>
    <t>17:02</t>
  </si>
  <si>
    <t>17:22</t>
  </si>
  <si>
    <t>16:43</t>
  </si>
  <si>
    <t>16:50</t>
  </si>
  <si>
    <t>07:26</t>
  </si>
  <si>
    <t>2024-03-07</t>
  </si>
  <si>
    <t>10:09</t>
  </si>
  <si>
    <t>09:43</t>
  </si>
  <si>
    <t>19:35</t>
  </si>
  <si>
    <t>10:00</t>
  </si>
  <si>
    <t>2024-01-31</t>
  </si>
  <si>
    <t>16:47</t>
  </si>
  <si>
    <t>18:00</t>
  </si>
  <si>
    <t>09:37</t>
  </si>
  <si>
    <t>07:07</t>
  </si>
  <si>
    <t>16:33</t>
  </si>
  <si>
    <t>08:49</t>
  </si>
  <si>
    <t>19:22</t>
  </si>
  <si>
    <t>16:22</t>
  </si>
  <si>
    <t>2024-04-21</t>
  </si>
  <si>
    <t>18:13</t>
  </si>
  <si>
    <t>15:56</t>
  </si>
  <si>
    <t>2024-01-11</t>
  </si>
  <si>
    <t>17:32</t>
  </si>
  <si>
    <t>10:08</t>
  </si>
  <si>
    <t>2024-05-10</t>
  </si>
  <si>
    <t>15:52</t>
  </si>
  <si>
    <t>2024-05-27</t>
  </si>
  <si>
    <t>07:19</t>
  </si>
  <si>
    <t>10:42</t>
  </si>
  <si>
    <t>17:27</t>
  </si>
  <si>
    <t>11:12</t>
  </si>
  <si>
    <t>17:52</t>
  </si>
  <si>
    <t>19:11</t>
  </si>
  <si>
    <t>11:43</t>
  </si>
  <si>
    <t>08:04</t>
  </si>
  <si>
    <t>14:11</t>
  </si>
  <si>
    <t>11:48</t>
  </si>
  <si>
    <t>16:59</t>
  </si>
  <si>
    <t>19:20</t>
  </si>
  <si>
    <t>09:20</t>
  </si>
  <si>
    <t>14:24</t>
  </si>
  <si>
    <t>19:51</t>
  </si>
  <si>
    <t>18:35</t>
  </si>
  <si>
    <t>10:32</t>
  </si>
  <si>
    <t>14:38</t>
  </si>
  <si>
    <t>09:57</t>
  </si>
  <si>
    <t>19:48</t>
  </si>
  <si>
    <t>18:29</t>
  </si>
  <si>
    <t>09:23</t>
  </si>
  <si>
    <t>09:50</t>
  </si>
  <si>
    <t>18:12</t>
  </si>
  <si>
    <t>12:58</t>
  </si>
  <si>
    <t>09:35</t>
  </si>
  <si>
    <t>17:41</t>
  </si>
  <si>
    <t>09:12</t>
  </si>
  <si>
    <t>10:27</t>
  </si>
  <si>
    <t>15:45</t>
  </si>
  <si>
    <t>16:12</t>
  </si>
  <si>
    <t>14:29</t>
  </si>
  <si>
    <t>16:05</t>
  </si>
  <si>
    <t>11:22</t>
  </si>
  <si>
    <t>10:50</t>
  </si>
  <si>
    <t>2024-02-26</t>
  </si>
  <si>
    <t>15:32</t>
  </si>
  <si>
    <t>16:16</t>
  </si>
  <si>
    <t>16:24</t>
  </si>
  <si>
    <t>19:30</t>
  </si>
  <si>
    <t>17:54</t>
  </si>
  <si>
    <t>17:20</t>
  </si>
  <si>
    <t>18:30</t>
  </si>
  <si>
    <t>12:48</t>
  </si>
  <si>
    <t>14:17</t>
  </si>
  <si>
    <t>2024-06-15</t>
  </si>
  <si>
    <t>12:24</t>
  </si>
  <si>
    <t>13:12</t>
  </si>
  <si>
    <t>08:52</t>
  </si>
  <si>
    <t>17:34</t>
  </si>
  <si>
    <t>19:04</t>
  </si>
  <si>
    <t>13:10</t>
  </si>
  <si>
    <t>13:03</t>
  </si>
  <si>
    <t>09:18</t>
  </si>
  <si>
    <t>11:09</t>
  </si>
  <si>
    <t>16:04</t>
  </si>
  <si>
    <t>2024-04-11</t>
  </si>
  <si>
    <t>09:36</t>
  </si>
  <si>
    <t>18:53</t>
  </si>
  <si>
    <t>14:21</t>
  </si>
  <si>
    <t>08:24</t>
  </si>
  <si>
    <t>16:13</t>
  </si>
  <si>
    <t>13:59</t>
  </si>
  <si>
    <t>09:30</t>
  </si>
  <si>
    <t>15:28</t>
  </si>
  <si>
    <t>10:05</t>
  </si>
  <si>
    <t>18:34</t>
  </si>
  <si>
    <t>07:34</t>
  </si>
  <si>
    <t>16:27</t>
  </si>
  <si>
    <t>19:52</t>
  </si>
  <si>
    <t>13:25</t>
  </si>
  <si>
    <t>07:00</t>
  </si>
  <si>
    <t>11:33</t>
  </si>
  <si>
    <t>08:12</t>
  </si>
  <si>
    <t>14:07</t>
  </si>
  <si>
    <t>07:15</t>
  </si>
  <si>
    <t>17:48</t>
  </si>
  <si>
    <t>17:50</t>
  </si>
  <si>
    <t>08:03</t>
  </si>
  <si>
    <t>11:34</t>
  </si>
  <si>
    <t>09:27</t>
  </si>
  <si>
    <t>09:01</t>
  </si>
  <si>
    <t>07:59</t>
  </si>
  <si>
    <t>13:39</t>
  </si>
  <si>
    <t>11:31</t>
  </si>
  <si>
    <t>2024-03-31</t>
  </si>
  <si>
    <t>19:55</t>
  </si>
  <si>
    <t>17:18</t>
  </si>
  <si>
    <t>15:12</t>
  </si>
  <si>
    <t>12:20</t>
  </si>
  <si>
    <t>08:48</t>
  </si>
  <si>
    <t>08:23</t>
  </si>
  <si>
    <t>15:59</t>
  </si>
  <si>
    <t>15:03</t>
  </si>
  <si>
    <t>16:32</t>
  </si>
  <si>
    <t>18:43</t>
  </si>
  <si>
    <t>15:47</t>
  </si>
  <si>
    <t>12:35</t>
  </si>
  <si>
    <t>2024-01-13</t>
  </si>
  <si>
    <t>12:56</t>
  </si>
  <si>
    <t>13:17</t>
  </si>
  <si>
    <t>18:28</t>
  </si>
  <si>
    <t>10:58</t>
  </si>
  <si>
    <t>08:19</t>
  </si>
  <si>
    <t>11:17</t>
  </si>
  <si>
    <t>11:14</t>
  </si>
  <si>
    <t>09:21</t>
  </si>
  <si>
    <t>08:46</t>
  </si>
  <si>
    <t>08:09</t>
  </si>
  <si>
    <t>12:06</t>
  </si>
  <si>
    <t>18:54</t>
  </si>
  <si>
    <t>10:10</t>
  </si>
  <si>
    <t>18:36</t>
  </si>
  <si>
    <t>12:38</t>
  </si>
  <si>
    <t>17:19</t>
  </si>
  <si>
    <t>10:28</t>
  </si>
  <si>
    <t>11:46</t>
  </si>
  <si>
    <t>07:37</t>
  </si>
  <si>
    <t>18:52</t>
  </si>
  <si>
    <t>10:40</t>
  </si>
  <si>
    <t>14:42</t>
  </si>
  <si>
    <t>16:49</t>
  </si>
  <si>
    <t>17:21</t>
  </si>
  <si>
    <t>18:17</t>
  </si>
  <si>
    <t>2024-05-19</t>
  </si>
  <si>
    <t>09:08</t>
  </si>
  <si>
    <t>11:45</t>
  </si>
  <si>
    <t>2024-03-15</t>
  </si>
  <si>
    <t>11:11</t>
  </si>
  <si>
    <t>16:20</t>
  </si>
  <si>
    <t>16:07</t>
  </si>
  <si>
    <t>07:09</t>
  </si>
  <si>
    <t>09:58</t>
  </si>
  <si>
    <t>10:45</t>
  </si>
  <si>
    <t>18:55</t>
  </si>
  <si>
    <t>14:54</t>
  </si>
  <si>
    <t>17:24</t>
  </si>
  <si>
    <t>08:35</t>
  </si>
  <si>
    <t>19:01</t>
  </si>
  <si>
    <t>11:19</t>
  </si>
  <si>
    <t>08:08</t>
  </si>
  <si>
    <t>18:21</t>
  </si>
  <si>
    <t>18:45</t>
  </si>
  <si>
    <t>17:06</t>
  </si>
  <si>
    <t>07:49</t>
  </si>
  <si>
    <t>19:10</t>
  </si>
  <si>
    <t>15:07</t>
  </si>
  <si>
    <t>16:39</t>
  </si>
  <si>
    <t>17:01</t>
  </si>
  <si>
    <t>14:56</t>
  </si>
  <si>
    <t>19:58</t>
  </si>
  <si>
    <t>08:37</t>
  </si>
  <si>
    <t>07:44</t>
  </si>
  <si>
    <t>12:49</t>
  </si>
  <si>
    <t>14:05</t>
  </si>
  <si>
    <t>16:54</t>
  </si>
  <si>
    <t>18:16</t>
  </si>
  <si>
    <t>13:27</t>
  </si>
  <si>
    <t>07:46</t>
  </si>
  <si>
    <t>09:38</t>
  </si>
  <si>
    <t>07:40</t>
  </si>
  <si>
    <t>12:23</t>
  </si>
  <si>
    <t>14:00</t>
  </si>
  <si>
    <t>17:17</t>
  </si>
  <si>
    <t>17:35</t>
  </si>
  <si>
    <t>13:42</t>
  </si>
  <si>
    <t>14:22</t>
  </si>
  <si>
    <t>17:58</t>
  </si>
  <si>
    <t>10:33</t>
  </si>
  <si>
    <t>09:17</t>
  </si>
  <si>
    <t>09:59</t>
  </si>
  <si>
    <t>13:33</t>
  </si>
  <si>
    <t>10:44</t>
  </si>
  <si>
    <t>08:14</t>
  </si>
  <si>
    <t>15:31</t>
  </si>
  <si>
    <t>16:36</t>
  </si>
  <si>
    <t>13:23</t>
  </si>
  <si>
    <t>12:55</t>
  </si>
  <si>
    <t>11:16</t>
  </si>
  <si>
    <t>15:41</t>
  </si>
  <si>
    <t>13:11</t>
  </si>
  <si>
    <t>11:30</t>
  </si>
  <si>
    <t>18:25</t>
  </si>
  <si>
    <t>16:30</t>
  </si>
  <si>
    <t>07:31</t>
  </si>
  <si>
    <t>13:29</t>
  </si>
  <si>
    <t>17:10</t>
  </si>
  <si>
    <t>08:17</t>
  </si>
  <si>
    <t>2024-05-03</t>
  </si>
  <si>
    <t>15:01</t>
  </si>
  <si>
    <t>17:44</t>
  </si>
  <si>
    <t>11:20</t>
  </si>
  <si>
    <t>08:15</t>
  </si>
  <si>
    <t>10:25</t>
  </si>
  <si>
    <t>14:12</t>
  </si>
  <si>
    <t>08:21</t>
  </si>
  <si>
    <t>12:37</t>
  </si>
  <si>
    <t>11:40</t>
  </si>
  <si>
    <t>19:06</t>
  </si>
  <si>
    <t>10:29</t>
  </si>
  <si>
    <t>19:29</t>
  </si>
  <si>
    <t>08:30</t>
  </si>
  <si>
    <t>15:20</t>
  </si>
  <si>
    <t>07:48</t>
  </si>
  <si>
    <t>16:48</t>
  </si>
  <si>
    <t>09:55</t>
  </si>
  <si>
    <t>17:03</t>
  </si>
  <si>
    <t>16:06</t>
  </si>
  <si>
    <t>10:48</t>
  </si>
  <si>
    <t>16:42</t>
  </si>
  <si>
    <t>07:38</t>
  </si>
  <si>
    <t>07:47</t>
  </si>
  <si>
    <t>12:47</t>
  </si>
  <si>
    <t>07:17</t>
  </si>
  <si>
    <t>12:39</t>
  </si>
  <si>
    <t>11:53</t>
  </si>
  <si>
    <t>15:25</t>
  </si>
  <si>
    <t>09:19</t>
  </si>
  <si>
    <t>14:33</t>
  </si>
  <si>
    <t>07:03</t>
  </si>
  <si>
    <t>12:08</t>
  </si>
  <si>
    <t>Sum of Total Sales</t>
  </si>
  <si>
    <t>Row Labels</t>
  </si>
  <si>
    <t>Grand Total</t>
  </si>
  <si>
    <t>Sum of Quantity</t>
  </si>
  <si>
    <t>Sum of Unit Price</t>
  </si>
  <si>
    <t>(All)</t>
  </si>
  <si>
    <t>Count of Store Location</t>
  </si>
  <si>
    <t>Sum of Transaction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</si>
</sst>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400]h:mm:ss\ AM/PM"/>
    <numFmt numFmtId="165" formatCode="[$-14009]dd/mm/yyyy;@"/>
    <numFmt numFmtId="166" formatCode="[$-14009]dd/mm/yy;@"/>
    <numFmt numFmtId="167" formatCode="[$-14009]h:mm;@"/>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C4A7"/>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1" fillId="3" borderId="1" xfId="0" applyFont="1" applyFill="1" applyBorder="1"/>
    <xf numFmtId="0" fontId="0" fillId="0" borderId="0" xfId="0" applyNumberFormat="1"/>
  </cellXfs>
  <cellStyles count="1">
    <cellStyle name="Normal" xfId="0" builtinId="0"/>
  </cellStyles>
  <dxfs count="6">
    <dxf>
      <fill>
        <gradientFill degree="90">
          <stop position="0">
            <color theme="5" tint="-0.49803155613879818"/>
          </stop>
          <stop position="1">
            <color rgb="FFFFC4A7"/>
          </stop>
        </gradientFill>
      </fill>
      <border>
        <left style="thick">
          <color rgb="FF542A00"/>
        </left>
        <right style="thick">
          <color rgb="FF542A00"/>
        </right>
        <top style="thick">
          <color rgb="FF542A00"/>
        </top>
        <bottom style="thick">
          <color rgb="FF542A00"/>
        </bottom>
      </border>
    </dxf>
    <dxf>
      <fill>
        <patternFill patternType="darkGray">
          <fgColor rgb="FF542A00"/>
        </patternFill>
      </fill>
      <border>
        <left style="thin">
          <color auto="1"/>
        </left>
        <right style="thin">
          <color auto="1"/>
        </right>
        <top style="thin">
          <color auto="1"/>
        </top>
        <bottom style="thin">
          <color auto="1"/>
        </bottom>
      </border>
    </dxf>
    <dxf>
      <border>
        <left style="thick">
          <color auto="1"/>
        </left>
        <right style="thick">
          <color auto="1"/>
        </right>
        <top style="thick">
          <color auto="1"/>
        </top>
        <bottom style="thick">
          <color auto="1"/>
        </bottom>
      </border>
    </dxf>
    <dxf>
      <fill>
        <patternFill patternType="darkGray">
          <fgColor rgb="FF542A00"/>
        </patternFill>
      </fill>
    </dxf>
    <dxf>
      <border>
        <left style="thick">
          <color rgb="FF542A00"/>
        </left>
        <right style="thick">
          <color rgb="FF542A00"/>
        </right>
        <top style="thick">
          <color rgb="FF542A00"/>
        </top>
        <bottom style="thick">
          <color rgb="FF542A00"/>
        </bottom>
      </border>
    </dxf>
    <dxf>
      <border>
        <left style="thick">
          <color rgb="FF542A00"/>
        </left>
        <right style="thick">
          <color rgb="FF542A00"/>
        </right>
        <top style="thick">
          <color rgb="FF542A00"/>
        </top>
        <bottom style="thick">
          <color rgb="FF542A00"/>
        </bottom>
      </border>
    </dxf>
  </dxfs>
  <tableStyles count="15" defaultTableStyle="TableStyleMedium9" defaultPivotStyle="PivotStyleLight16">
    <tableStyle name="PivotTable Style 1" table="0" count="1" xr9:uid="{2C009C41-D6C9-4C5E-A6C6-2747A38FF4D4}">
      <tableStyleElement type="wholeTable" dxfId="3"/>
    </tableStyle>
    <tableStyle name="PivotTable Style 2" table="0" count="1" xr9:uid="{BD0F3A8B-6AFE-43F1-9862-E8516DE48F4B}">
      <tableStyleElement type="wholeTable" dxfId="2"/>
    </tableStyle>
    <tableStyle name="Slicer Style 1" pivot="0" table="0" count="0" xr9:uid="{94C9558F-C145-4F3A-B0B4-747C50B6A531}"/>
    <tableStyle name="Slicer Style 10" pivot="0" table="0" count="1" xr9:uid="{D95ED412-082C-4F4A-8A5D-40214C5929E5}"/>
    <tableStyle name="Slicer Style 11" pivot="0" table="0" count="1" xr9:uid="{3BC0D8D1-7165-4F1E-831D-C8F65285A521}">
      <tableStyleElement type="wholeTable" dxfId="1"/>
    </tableStyle>
    <tableStyle name="Slicer Style 12" pivot="0" table="0" count="1" xr9:uid="{19EDBC60-F126-4CD9-831C-DC072BB27F05}">
      <tableStyleElement type="wholeTable" dxfId="0"/>
    </tableStyle>
    <tableStyle name="Slicer Style 13" pivot="0" table="0" count="1" xr9:uid="{8F9E125F-6F1E-46A8-AF6D-36334C807DB2}"/>
    <tableStyle name="Slicer Style 2" pivot="0" table="0" count="1" xr9:uid="{31CFCE57-6294-4CE4-B516-630BF108D797}"/>
    <tableStyle name="Slicer Style 3" pivot="0" table="0" count="0" xr9:uid="{7F5FD861-560A-4C65-934A-EFAC293F2BD7}"/>
    <tableStyle name="Slicer Style 4" pivot="0" table="0" count="1" xr9:uid="{5C78AF8E-F61F-4F06-B851-DE03158F59BF}">
      <tableStyleElement type="wholeTable" dxfId="5"/>
    </tableStyle>
    <tableStyle name="Slicer Style 5" pivot="0" table="0" count="2" xr9:uid="{A557698C-C3C6-4DF7-ADA6-878FAAD1DE03}">
      <tableStyleElement type="wholeTable" dxfId="4"/>
    </tableStyle>
    <tableStyle name="Slicer Style 6" pivot="0" table="0" count="1" xr9:uid="{8D47B47F-B003-4CE5-9611-EBB6877FFCE1}"/>
    <tableStyle name="Slicer Style 7" pivot="0" table="0" count="1" xr9:uid="{04BA501F-BE7C-4947-B16F-5C41D1857A36}"/>
    <tableStyle name="Slicer Style 8" pivot="0" table="0" count="1" xr9:uid="{74838922-0BED-495E-98AB-648F6618B0D8}"/>
    <tableStyle name="Slicer Style 9" pivot="0" table="0" count="1" xr9:uid="{B18017E1-B847-452C-B734-490B63A69F14}"/>
  </tableStyles>
  <colors>
    <mruColors>
      <color rgb="FFFFC4A7"/>
      <color rgb="FF542A00"/>
      <color rgb="FF663300"/>
      <color rgb="FFFFD6C1"/>
      <color rgb="FFFFDCB9"/>
      <color rgb="FFEBD7C3"/>
      <color rgb="FFDEBC9A"/>
      <color rgb="FFD5AB81"/>
      <color rgb="FFFFDECD"/>
      <color rgb="FFFFD7AF"/>
    </mruColors>
  </colors>
  <extLst>
    <ext xmlns:x14="http://schemas.microsoft.com/office/spreadsheetml/2009/9/main" uri="{46F421CA-312F-682f-3DD2-61675219B42D}">
      <x14:dxfs count="7">
        <dxf>
          <fill>
            <patternFill>
              <fgColor rgb="FF542A00"/>
            </patternFill>
          </fill>
        </dxf>
        <dxf>
          <fill>
            <gradientFill type="path" left="0.5" right="0.5" top="0.5" bottom="0.5">
              <stop position="0">
                <color rgb="FF542A00"/>
              </stop>
              <stop position="1">
                <color rgb="FFFFC4A7"/>
              </stop>
            </gradientFill>
          </fill>
        </dxf>
        <dxf>
          <fill>
            <gradientFill type="path" left="0.5" right="0.5" top="0.5" bottom="0.5">
              <stop position="0">
                <color rgb="FFFFC4A7"/>
              </stop>
              <stop position="1">
                <color rgb="FF542A00"/>
              </stop>
            </gradientFill>
          </fill>
        </dxf>
        <dxf>
          <fill>
            <gradientFill type="path">
              <stop position="0">
                <color rgb="FF542A00"/>
              </stop>
              <stop position="1">
                <color rgb="FFFFC4A7"/>
              </stop>
            </gradientFill>
          </fill>
        </dxf>
        <dxf>
          <fill>
            <patternFill patternType="darkUp">
              <fgColor rgb="FF542A00"/>
              <bgColor rgb="FF663300"/>
            </patternFill>
          </fill>
        </dxf>
        <dxf>
          <border>
            <left style="thick">
              <color rgb="FF542A00"/>
            </left>
            <right style="thick">
              <color rgb="FF542A00"/>
            </right>
            <top style="thick">
              <color rgb="FF542A00"/>
            </top>
            <bottom style="thick">
              <color rgb="FF542A00"/>
            </bottom>
          </border>
        </dxf>
        <dxf>
          <border>
            <left style="thick">
              <color rgb="FF542A00"/>
            </left>
            <right style="thick">
              <color rgb="FF542A00"/>
            </right>
            <top style="thick">
              <color rgb="FF542A00"/>
            </top>
            <bottom style="thick">
              <color rgb="FF542A00"/>
            </bottom>
          </border>
        </dxf>
      </x14:dxfs>
    </ext>
    <ext xmlns:x14="http://schemas.microsoft.com/office/spreadsheetml/2009/9/main" uri="{EB79DEF2-80B8-43e5-95BD-54CBDDF9020C}">
      <x14:slicerStyles defaultSlicerStyle="SlicerStyleLight1">
        <x14:slicerStyle name="Slicer Style 1"/>
        <x14:slicerStyle name="Slicer Style 10">
          <x14:slicerStyleElements>
            <x14:slicerStyleElement type="selectedItemWithData" dxfId="1"/>
          </x14:slicerStyleElements>
        </x14:slicerStyle>
        <x14:slicerStyle name="Slicer Style 11"/>
        <x14:slicerStyle name="Slicer Style 12"/>
        <x14:slicerStyle name="Slicer Style 13">
          <x14:slicerStyleElements>
            <x14:slicerStyleElement type="selectedItemWithData" dxfId="0"/>
          </x14:slicerStyleElements>
        </x14:slicerStyle>
        <x14:slicerStyle name="Slicer Style 2">
          <x14:slicerStyleElements>
            <x14:slicerStyleElement type="selectedItemWithNoData" dxfId="5"/>
          </x14:slicerStyleElements>
        </x14:slicerStyle>
        <x14:slicerStyle name="Slicer Style 3"/>
        <x14:slicerStyle name="Slicer Style 4"/>
        <x14:slicerStyle name="Slicer Style 5"/>
        <x14:slicerStyle name="Slicer Style 6">
          <x14:slicerStyleElements>
            <x14:slicerStyleElement type="selectedItemWithData" dxfId="6"/>
          </x14:slicerStyleElements>
        </x14:slicerStyle>
        <x14:slicerStyle name="Slicer Style 7">
          <x14:slicerStyleElements>
            <x14:slicerStyleElement type="unselectedItemWithData" dxfId="4"/>
          </x14:slicerStyleElements>
        </x14:slicerStyle>
        <x14:slicerStyle name="Slicer Style 8">
          <x14:slicerStyleElements>
            <x14:slicerStyleElement type="selectedItemWithNoData" dxfId="3"/>
          </x14:slicerStyleElements>
        </x14:slicerStyle>
        <x14:slicerStyle name="Slicer Style 9">
          <x14:slicerStyleElements>
            <x14:slicerStyleElement type="unselectedItemWith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[Coffee_Shop_Sales_Dataset.xlsx]PIVOT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TABLE'!$F$4:$F$15</c:f>
              <c:strCache>
                <c:ptCount val="11"/>
                <c:pt idx="0">
                  <c:v>Americano</c:v>
                </c:pt>
                <c:pt idx="1">
                  <c:v>Bagel</c:v>
                </c:pt>
                <c:pt idx="2">
                  <c:v>Black Tea</c:v>
                </c:pt>
                <c:pt idx="3">
                  <c:v>Cappuccino</c:v>
                </c:pt>
                <c:pt idx="4">
                  <c:v>Chai Tea</c:v>
                </c:pt>
                <c:pt idx="5">
                  <c:v>Croissant</c:v>
                </c:pt>
                <c:pt idx="6">
                  <c:v>Espresso</c:v>
                </c:pt>
                <c:pt idx="7">
                  <c:v>Green Tea</c:v>
                </c:pt>
                <c:pt idx="8">
                  <c:v>Hot Chocolate</c:v>
                </c:pt>
                <c:pt idx="9">
                  <c:v>Latte</c:v>
                </c:pt>
                <c:pt idx="10">
                  <c:v>Muffin</c:v>
                </c:pt>
              </c:strCache>
            </c:strRef>
          </c:cat>
          <c:val>
            <c:numRef>
              <c:f>'PIVOT TABLE'!$G$4:$G$15</c:f>
              <c:numCache>
                <c:formatCode>General</c:formatCode>
                <c:ptCount val="11"/>
                <c:pt idx="0">
                  <c:v>159</c:v>
                </c:pt>
                <c:pt idx="1">
                  <c:v>211</c:v>
                </c:pt>
                <c:pt idx="2">
                  <c:v>275</c:v>
                </c:pt>
                <c:pt idx="3">
                  <c:v>189</c:v>
                </c:pt>
                <c:pt idx="4">
                  <c:v>269</c:v>
                </c:pt>
                <c:pt idx="5">
                  <c:v>277</c:v>
                </c:pt>
                <c:pt idx="6">
                  <c:v>219</c:v>
                </c:pt>
                <c:pt idx="7">
                  <c:v>261</c:v>
                </c:pt>
                <c:pt idx="8">
                  <c:v>679</c:v>
                </c:pt>
                <c:pt idx="9">
                  <c:v>182</c:v>
                </c:pt>
                <c:pt idx="10">
                  <c:v>273</c:v>
                </c:pt>
              </c:numCache>
            </c:numRef>
          </c:val>
          <c:smooth val="0"/>
          <c:extLst>
            <c:ext xmlns:c16="http://schemas.microsoft.com/office/drawing/2014/chart" uri="{C3380CC4-5D6E-409C-BE32-E72D297353CC}">
              <c16:uniqueId val="{00000000-A092-4CE3-A160-2D7CD36F4213}"/>
            </c:ext>
          </c:extLst>
        </c:ser>
        <c:dLbls>
          <c:showLegendKey val="0"/>
          <c:showVal val="0"/>
          <c:showCatName val="0"/>
          <c:showSerName val="0"/>
          <c:showPercent val="0"/>
          <c:showBubbleSize val="0"/>
        </c:dLbls>
        <c:marker val="1"/>
        <c:smooth val="0"/>
        <c:axId val="1315347056"/>
        <c:axId val="1315344176"/>
      </c:lineChart>
      <c:catAx>
        <c:axId val="131534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344176"/>
        <c:crosses val="autoZero"/>
        <c:auto val="1"/>
        <c:lblAlgn val="ctr"/>
        <c:lblOffset val="100"/>
        <c:noMultiLvlLbl val="0"/>
      </c:catAx>
      <c:valAx>
        <c:axId val="131534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34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[Coffee_Shop_Sales_Dataset.xlsx]PIVOT TABLE!PivotTable3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TABLE'!$K$18</c:f>
              <c:strCache>
                <c:ptCount val="1"/>
                <c:pt idx="0">
                  <c:v>Total</c:v>
                </c:pt>
              </c:strCache>
            </c:strRef>
          </c:tx>
          <c:spPr>
            <a:solidFill>
              <a:schemeClr val="accent1"/>
            </a:solidFill>
            <a:ln>
              <a:noFill/>
            </a:ln>
            <a:effectLst/>
          </c:spPr>
          <c:invertIfNegative val="0"/>
          <c:cat>
            <c:multiLvlStrRef>
              <c:f>'PIVOT TABLE'!$J$19:$J$34</c:f>
              <c:multiLvlStrCache>
                <c:ptCount val="12"/>
                <c:lvl>
                  <c:pt idx="0">
                    <c:v>Bakery</c:v>
                  </c:pt>
                  <c:pt idx="1">
                    <c:v>Coffee</c:v>
                  </c:pt>
                  <c:pt idx="2">
                    <c:v>Drinking Chocolate</c:v>
                  </c:pt>
                  <c:pt idx="3">
                    <c:v>Tea</c:v>
                  </c:pt>
                  <c:pt idx="4">
                    <c:v>Bakery</c:v>
                  </c:pt>
                  <c:pt idx="5">
                    <c:v>Coffee</c:v>
                  </c:pt>
                  <c:pt idx="6">
                    <c:v>Drinking Chocolate</c:v>
                  </c:pt>
                  <c:pt idx="7">
                    <c:v>Tea</c:v>
                  </c:pt>
                  <c:pt idx="8">
                    <c:v>Bakery</c:v>
                  </c:pt>
                  <c:pt idx="9">
                    <c:v>Coffee</c:v>
                  </c:pt>
                  <c:pt idx="10">
                    <c:v>Drinking Chocolate</c:v>
                  </c:pt>
                  <c:pt idx="11">
                    <c:v>Tea</c:v>
                  </c:pt>
                </c:lvl>
                <c:lvl>
                  <c:pt idx="0">
                    <c:v>Astoria</c:v>
                  </c:pt>
                  <c:pt idx="4">
                    <c:v>Hell's Kitchen</c:v>
                  </c:pt>
                  <c:pt idx="8">
                    <c:v>Lower Manhattan</c:v>
                  </c:pt>
                </c:lvl>
              </c:multiLvlStrCache>
            </c:multiLvlStrRef>
          </c:cat>
          <c:val>
            <c:numRef>
              <c:f>'PIVOT TABLE'!$K$19:$K$34</c:f>
              <c:numCache>
                <c:formatCode>General</c:formatCode>
                <c:ptCount val="12"/>
                <c:pt idx="0">
                  <c:v>1033.6299999999997</c:v>
                </c:pt>
                <c:pt idx="1">
                  <c:v>1078.8799999999999</c:v>
                </c:pt>
                <c:pt idx="2">
                  <c:v>984.19000000000017</c:v>
                </c:pt>
                <c:pt idx="3">
                  <c:v>977.42</c:v>
                </c:pt>
                <c:pt idx="4">
                  <c:v>812.04000000000019</c:v>
                </c:pt>
                <c:pt idx="5">
                  <c:v>923.87000000000012</c:v>
                </c:pt>
                <c:pt idx="6">
                  <c:v>843.9</c:v>
                </c:pt>
                <c:pt idx="7">
                  <c:v>1162.42</c:v>
                </c:pt>
                <c:pt idx="8">
                  <c:v>1220.57</c:v>
                </c:pt>
                <c:pt idx="9">
                  <c:v>986.9400000000004</c:v>
                </c:pt>
                <c:pt idx="10">
                  <c:v>901.62999999999977</c:v>
                </c:pt>
                <c:pt idx="11">
                  <c:v>1011.1400000000003</c:v>
                </c:pt>
              </c:numCache>
            </c:numRef>
          </c:val>
          <c:extLst>
            <c:ext xmlns:c16="http://schemas.microsoft.com/office/drawing/2014/chart" uri="{C3380CC4-5D6E-409C-BE32-E72D297353CC}">
              <c16:uniqueId val="{00000000-D5CF-416E-9957-86588D0672AD}"/>
            </c:ext>
          </c:extLst>
        </c:ser>
        <c:dLbls>
          <c:showLegendKey val="0"/>
          <c:showVal val="0"/>
          <c:showCatName val="0"/>
          <c:showSerName val="0"/>
          <c:showPercent val="0"/>
          <c:showBubbleSize val="0"/>
        </c:dLbls>
        <c:gapWidth val="150"/>
        <c:overlap val="100"/>
        <c:axId val="1315300976"/>
        <c:axId val="1315317776"/>
      </c:barChart>
      <c:catAx>
        <c:axId val="131530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317776"/>
        <c:crosses val="autoZero"/>
        <c:auto val="1"/>
        <c:lblAlgn val="ctr"/>
        <c:lblOffset val="100"/>
        <c:noMultiLvlLbl val="0"/>
      </c:catAx>
      <c:valAx>
        <c:axId val="131531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30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[Coffee_Shop_Sales_Dataset.xlsx]PIVOT TABLE!PivotTable4</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TABLE'!$N$17</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B3-4C6E-8800-7C4252F87D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B3-4C6E-8800-7C4252F87D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B3-4C6E-8800-7C4252F87D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B3-4C6E-8800-7C4252F87D71}"/>
              </c:ext>
            </c:extLst>
          </c:dPt>
          <c:cat>
            <c:strRef>
              <c:f>'PIVOT TABLE'!$M$18:$M$22</c:f>
              <c:strCache>
                <c:ptCount val="4"/>
                <c:pt idx="0">
                  <c:v>Bakery</c:v>
                </c:pt>
                <c:pt idx="1">
                  <c:v>Coffee</c:v>
                </c:pt>
                <c:pt idx="2">
                  <c:v>Drinking Chocolate</c:v>
                </c:pt>
                <c:pt idx="3">
                  <c:v>Tea</c:v>
                </c:pt>
              </c:strCache>
            </c:strRef>
          </c:cat>
          <c:val>
            <c:numRef>
              <c:f>'PIVOT TABLE'!$N$18:$N$22</c:f>
              <c:numCache>
                <c:formatCode>General</c:formatCode>
                <c:ptCount val="4"/>
                <c:pt idx="0">
                  <c:v>761</c:v>
                </c:pt>
                <c:pt idx="1">
                  <c:v>749</c:v>
                </c:pt>
                <c:pt idx="2">
                  <c:v>679</c:v>
                </c:pt>
                <c:pt idx="3">
                  <c:v>805</c:v>
                </c:pt>
              </c:numCache>
            </c:numRef>
          </c:val>
          <c:extLst>
            <c:ext xmlns:c16="http://schemas.microsoft.com/office/drawing/2014/chart" uri="{C3380CC4-5D6E-409C-BE32-E72D297353CC}">
              <c16:uniqueId val="{00000000-DB1D-4F09-AE92-297397D0D410}"/>
            </c:ext>
          </c:extLst>
        </c:ser>
        <c:ser>
          <c:idx val="1"/>
          <c:order val="1"/>
          <c:tx>
            <c:strRef>
              <c:f>'PIVOT TABLE'!$O$17</c:f>
              <c:strCache>
                <c:ptCount val="1"/>
                <c:pt idx="0">
                  <c:v>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F7B3-4C6E-8800-7C4252F87D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F7B3-4C6E-8800-7C4252F87D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F7B3-4C6E-8800-7C4252F87D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F7B3-4C6E-8800-7C4252F87D71}"/>
              </c:ext>
            </c:extLst>
          </c:dPt>
          <c:cat>
            <c:strRef>
              <c:f>'PIVOT TABLE'!$M$18:$M$22</c:f>
              <c:strCache>
                <c:ptCount val="4"/>
                <c:pt idx="0">
                  <c:v>Bakery</c:v>
                </c:pt>
                <c:pt idx="1">
                  <c:v>Coffee</c:v>
                </c:pt>
                <c:pt idx="2">
                  <c:v>Drinking Chocolate</c:v>
                </c:pt>
                <c:pt idx="3">
                  <c:v>Tea</c:v>
                </c:pt>
              </c:strCache>
            </c:strRef>
          </c:cat>
          <c:val>
            <c:numRef>
              <c:f>'PIVOT TABLE'!$O$18:$O$22</c:f>
              <c:numCache>
                <c:formatCode>General</c:formatCode>
                <c:ptCount val="4"/>
                <c:pt idx="0">
                  <c:v>3066.2399999999993</c:v>
                </c:pt>
                <c:pt idx="1">
                  <c:v>2989.69</c:v>
                </c:pt>
                <c:pt idx="2">
                  <c:v>2729.7199999999989</c:v>
                </c:pt>
                <c:pt idx="3">
                  <c:v>3150.9800000000009</c:v>
                </c:pt>
              </c:numCache>
            </c:numRef>
          </c:val>
          <c:extLst>
            <c:ext xmlns:c16="http://schemas.microsoft.com/office/drawing/2014/chart" uri="{C3380CC4-5D6E-409C-BE32-E72D297353CC}">
              <c16:uniqueId val="{00000003-DB1D-4F09-AE92-297397D0D41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[Coffee_Shop_Sales_Dataset.xlsx]PIVOT TABLE!PivotTable5</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TABLE'!$O$32</c:f>
              <c:strCache>
                <c:ptCount val="1"/>
                <c:pt idx="0">
                  <c:v>Total</c:v>
                </c:pt>
              </c:strCache>
            </c:strRef>
          </c:tx>
          <c:spPr>
            <a:solidFill>
              <a:schemeClr val="accent1"/>
            </a:solidFill>
            <a:ln>
              <a:noFill/>
            </a:ln>
            <a:effectLst/>
          </c:spPr>
          <c:invertIfNegative val="0"/>
          <c:cat>
            <c:strRef>
              <c:f>'PIVOT TABLE'!$N$33:$N$44</c:f>
              <c:strCache>
                <c:ptCount val="11"/>
                <c:pt idx="0">
                  <c:v>Americano</c:v>
                </c:pt>
                <c:pt idx="1">
                  <c:v>Bagel</c:v>
                </c:pt>
                <c:pt idx="2">
                  <c:v>Black Tea</c:v>
                </c:pt>
                <c:pt idx="3">
                  <c:v>Cappuccino</c:v>
                </c:pt>
                <c:pt idx="4">
                  <c:v>Chai Tea</c:v>
                </c:pt>
                <c:pt idx="5">
                  <c:v>Croissant</c:v>
                </c:pt>
                <c:pt idx="6">
                  <c:v>Espresso</c:v>
                </c:pt>
                <c:pt idx="7">
                  <c:v>Green Tea</c:v>
                </c:pt>
                <c:pt idx="8">
                  <c:v>Hot Chocolate</c:v>
                </c:pt>
                <c:pt idx="9">
                  <c:v>Latte</c:v>
                </c:pt>
                <c:pt idx="10">
                  <c:v>Muffin</c:v>
                </c:pt>
              </c:strCache>
            </c:strRef>
          </c:cat>
          <c:val>
            <c:numRef>
              <c:f>'PIVOT TABLE'!$O$33:$O$44</c:f>
              <c:numCache>
                <c:formatCode>General</c:formatCode>
                <c:ptCount val="11"/>
                <c:pt idx="0">
                  <c:v>228.23999999999995</c:v>
                </c:pt>
                <c:pt idx="1">
                  <c:v>281.90000000000003</c:v>
                </c:pt>
                <c:pt idx="2">
                  <c:v>380.2600000000001</c:v>
                </c:pt>
                <c:pt idx="3">
                  <c:v>253.35999999999999</c:v>
                </c:pt>
                <c:pt idx="4">
                  <c:v>358.4899999999999</c:v>
                </c:pt>
                <c:pt idx="5">
                  <c:v>381.61</c:v>
                </c:pt>
                <c:pt idx="6">
                  <c:v>276.90999999999991</c:v>
                </c:pt>
                <c:pt idx="7">
                  <c:v>304.85000000000008</c:v>
                </c:pt>
                <c:pt idx="8">
                  <c:v>911.83</c:v>
                </c:pt>
                <c:pt idx="9">
                  <c:v>283.20999999999998</c:v>
                </c:pt>
                <c:pt idx="10">
                  <c:v>340.62000000000006</c:v>
                </c:pt>
              </c:numCache>
            </c:numRef>
          </c:val>
          <c:extLst>
            <c:ext xmlns:c16="http://schemas.microsoft.com/office/drawing/2014/chart" uri="{C3380CC4-5D6E-409C-BE32-E72D297353CC}">
              <c16:uniqueId val="{00000000-6570-4365-8D92-6ADAA573488C}"/>
            </c:ext>
          </c:extLst>
        </c:ser>
        <c:dLbls>
          <c:showLegendKey val="0"/>
          <c:showVal val="0"/>
          <c:showCatName val="0"/>
          <c:showSerName val="0"/>
          <c:showPercent val="0"/>
          <c:showBubbleSize val="0"/>
        </c:dLbls>
        <c:gapWidth val="182"/>
        <c:axId val="1549006464"/>
        <c:axId val="1549006944"/>
      </c:barChart>
      <c:catAx>
        <c:axId val="1549006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006944"/>
        <c:crosses val="autoZero"/>
        <c:auto val="1"/>
        <c:lblAlgn val="ctr"/>
        <c:lblOffset val="100"/>
        <c:noMultiLvlLbl val="0"/>
      </c:catAx>
      <c:valAx>
        <c:axId val="1549006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00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[Coffee_Shop_Sales_Dataset.xlsx]PIVOT TABLE!PivotTable8</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TABLE'!$Z$45</c:f>
              <c:strCache>
                <c:ptCount val="1"/>
                <c:pt idx="0">
                  <c:v>Total</c:v>
                </c:pt>
              </c:strCache>
            </c:strRef>
          </c:tx>
          <c:spPr>
            <a:solidFill>
              <a:schemeClr val="accent1"/>
            </a:solidFill>
            <a:ln>
              <a:noFill/>
            </a:ln>
            <a:effectLst/>
          </c:spPr>
          <c:cat>
            <c:strRef>
              <c:f>'PIVOT TABLE'!$Y$46:$Y$52</c:f>
              <c:strCache>
                <c:ptCount val="6"/>
                <c:pt idx="0">
                  <c:v>January</c:v>
                </c:pt>
                <c:pt idx="1">
                  <c:v>February</c:v>
                </c:pt>
                <c:pt idx="2">
                  <c:v>March</c:v>
                </c:pt>
                <c:pt idx="3">
                  <c:v>April</c:v>
                </c:pt>
                <c:pt idx="4">
                  <c:v>May</c:v>
                </c:pt>
                <c:pt idx="5">
                  <c:v>June</c:v>
                </c:pt>
              </c:strCache>
            </c:strRef>
          </c:cat>
          <c:val>
            <c:numRef>
              <c:f>'PIVOT TABLE'!$Z$46:$Z$52</c:f>
              <c:numCache>
                <c:formatCode>General</c:formatCode>
                <c:ptCount val="6"/>
                <c:pt idx="0">
                  <c:v>2002.4999999999998</c:v>
                </c:pt>
                <c:pt idx="1">
                  <c:v>1816.78</c:v>
                </c:pt>
                <c:pt idx="2">
                  <c:v>1964.6199999999997</c:v>
                </c:pt>
                <c:pt idx="3">
                  <c:v>1800.2099999999994</c:v>
                </c:pt>
                <c:pt idx="4">
                  <c:v>2174.5499999999993</c:v>
                </c:pt>
                <c:pt idx="5">
                  <c:v>2177.9700000000007</c:v>
                </c:pt>
              </c:numCache>
            </c:numRef>
          </c:val>
          <c:extLst>
            <c:ext xmlns:c16="http://schemas.microsoft.com/office/drawing/2014/chart" uri="{C3380CC4-5D6E-409C-BE32-E72D297353CC}">
              <c16:uniqueId val="{00000000-C464-4175-B884-960219602DB1}"/>
            </c:ext>
          </c:extLst>
        </c:ser>
        <c:dLbls>
          <c:showLegendKey val="0"/>
          <c:showVal val="0"/>
          <c:showCatName val="0"/>
          <c:showSerName val="0"/>
          <c:showPercent val="0"/>
          <c:showBubbleSize val="0"/>
        </c:dLbls>
        <c:axId val="388578735"/>
        <c:axId val="388579215"/>
      </c:areaChart>
      <c:catAx>
        <c:axId val="388578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579215"/>
        <c:crosses val="autoZero"/>
        <c:auto val="1"/>
        <c:lblAlgn val="ctr"/>
        <c:lblOffset val="100"/>
        <c:noMultiLvlLbl val="0"/>
      </c:catAx>
      <c:valAx>
        <c:axId val="38857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5787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[Coffee_Shop_Sales_Dataset.xlsx]PIVOT TABLE!PivotTable2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solidFill>
              <a:srgbClr val="542A00"/>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42A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684335435082113E-2"/>
          <c:y val="5.1593550806149233E-2"/>
          <c:w val="0.90100799656852237"/>
          <c:h val="0.5295108173206744"/>
        </c:manualLayout>
      </c:layout>
      <c:lineChart>
        <c:grouping val="standard"/>
        <c:varyColors val="0"/>
        <c:ser>
          <c:idx val="0"/>
          <c:order val="0"/>
          <c:tx>
            <c:strRef>
              <c:f>'PIVOT TABLE'!$G$3</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solidFill>
                <a:srgbClr val="542A00"/>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42A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TABLE'!$F$4:$F$15</c:f>
              <c:strCache>
                <c:ptCount val="11"/>
                <c:pt idx="0">
                  <c:v>Americano</c:v>
                </c:pt>
                <c:pt idx="1">
                  <c:v>Bagel</c:v>
                </c:pt>
                <c:pt idx="2">
                  <c:v>Black Tea</c:v>
                </c:pt>
                <c:pt idx="3">
                  <c:v>Cappuccino</c:v>
                </c:pt>
                <c:pt idx="4">
                  <c:v>Chai Tea</c:v>
                </c:pt>
                <c:pt idx="5">
                  <c:v>Croissant</c:v>
                </c:pt>
                <c:pt idx="6">
                  <c:v>Espresso</c:v>
                </c:pt>
                <c:pt idx="7">
                  <c:v>Green Tea</c:v>
                </c:pt>
                <c:pt idx="8">
                  <c:v>Hot Chocolate</c:v>
                </c:pt>
                <c:pt idx="9">
                  <c:v>Latte</c:v>
                </c:pt>
                <c:pt idx="10">
                  <c:v>Muffin</c:v>
                </c:pt>
              </c:strCache>
            </c:strRef>
          </c:cat>
          <c:val>
            <c:numRef>
              <c:f>'PIVOT TABLE'!$G$4:$G$15</c:f>
              <c:numCache>
                <c:formatCode>General</c:formatCode>
                <c:ptCount val="11"/>
                <c:pt idx="0">
                  <c:v>159</c:v>
                </c:pt>
                <c:pt idx="1">
                  <c:v>211</c:v>
                </c:pt>
                <c:pt idx="2">
                  <c:v>275</c:v>
                </c:pt>
                <c:pt idx="3">
                  <c:v>189</c:v>
                </c:pt>
                <c:pt idx="4">
                  <c:v>269</c:v>
                </c:pt>
                <c:pt idx="5">
                  <c:v>277</c:v>
                </c:pt>
                <c:pt idx="6">
                  <c:v>219</c:v>
                </c:pt>
                <c:pt idx="7">
                  <c:v>261</c:v>
                </c:pt>
                <c:pt idx="8">
                  <c:v>679</c:v>
                </c:pt>
                <c:pt idx="9">
                  <c:v>182</c:v>
                </c:pt>
                <c:pt idx="10">
                  <c:v>273</c:v>
                </c:pt>
              </c:numCache>
            </c:numRef>
          </c:val>
          <c:smooth val="0"/>
          <c:extLst>
            <c:ext xmlns:c16="http://schemas.microsoft.com/office/drawing/2014/chart" uri="{C3380CC4-5D6E-409C-BE32-E72D297353CC}">
              <c16:uniqueId val="{00000000-D444-46A4-AFFC-771B0FF7B292}"/>
            </c:ext>
          </c:extLst>
        </c:ser>
        <c:dLbls>
          <c:dLblPos val="t"/>
          <c:showLegendKey val="0"/>
          <c:showVal val="1"/>
          <c:showCatName val="0"/>
          <c:showSerName val="0"/>
          <c:showPercent val="0"/>
          <c:showBubbleSize val="0"/>
        </c:dLbls>
        <c:marker val="1"/>
        <c:smooth val="0"/>
        <c:axId val="1315347056"/>
        <c:axId val="1315344176"/>
      </c:lineChart>
      <c:catAx>
        <c:axId val="1315347056"/>
        <c:scaling>
          <c:orientation val="minMax"/>
        </c:scaling>
        <c:delete val="0"/>
        <c:axPos val="b"/>
        <c:numFmt formatCode="General" sourceLinked="1"/>
        <c:majorTickMark val="none"/>
        <c:minorTickMark val="none"/>
        <c:tickLblPos val="nextTo"/>
        <c:spPr>
          <a:noFill/>
          <a:ln w="12700" cap="flat" cmpd="sng" algn="ctr">
            <a:solidFill>
              <a:srgbClr val="542A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344176"/>
        <c:crosses val="autoZero"/>
        <c:auto val="1"/>
        <c:lblAlgn val="ctr"/>
        <c:lblOffset val="100"/>
        <c:noMultiLvlLbl val="0"/>
      </c:catAx>
      <c:valAx>
        <c:axId val="1315344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347056"/>
        <c:crosses val="autoZero"/>
        <c:crossBetween val="between"/>
      </c:valAx>
      <c:spPr>
        <a:solidFill>
          <a:srgbClr val="FFC4A7"/>
        </a:solidFill>
        <a:ln>
          <a:solidFill>
            <a:srgbClr val="542A00"/>
          </a:solidFill>
        </a:ln>
        <a:effectLst>
          <a:softEdge rad="127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4A7"/>
    </a:solidFill>
    <a:ln w="9525" cap="flat" cmpd="sng" algn="ctr">
      <a:solidFill>
        <a:srgbClr val="542A00"/>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[Coffee_Shop_Sales_Dataset.xlsx]PIVOT TABLE!PivotTable3</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42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87709208433076"/>
          <c:y val="8.1594923313630885E-2"/>
          <c:w val="0.85759323689190015"/>
          <c:h val="0.42342676329914997"/>
        </c:manualLayout>
      </c:layout>
      <c:barChart>
        <c:barDir val="col"/>
        <c:grouping val="stacked"/>
        <c:varyColors val="0"/>
        <c:ser>
          <c:idx val="0"/>
          <c:order val="0"/>
          <c:tx>
            <c:strRef>
              <c:f>'PIVOT TABLE'!$K$18</c:f>
              <c:strCache>
                <c:ptCount val="1"/>
                <c:pt idx="0">
                  <c:v>Total</c:v>
                </c:pt>
              </c:strCache>
            </c:strRef>
          </c:tx>
          <c:spPr>
            <a:solidFill>
              <a:srgbClr val="542A00"/>
            </a:solidFill>
            <a:ln>
              <a:noFill/>
            </a:ln>
            <a:effectLst/>
          </c:spPr>
          <c:invertIfNegative val="0"/>
          <c:cat>
            <c:multiLvlStrRef>
              <c:f>'PIVOT TABLE'!$J$19:$J$34</c:f>
              <c:multiLvlStrCache>
                <c:ptCount val="12"/>
                <c:lvl>
                  <c:pt idx="0">
                    <c:v>Bakery</c:v>
                  </c:pt>
                  <c:pt idx="1">
                    <c:v>Coffee</c:v>
                  </c:pt>
                  <c:pt idx="2">
                    <c:v>Drinking Chocolate</c:v>
                  </c:pt>
                  <c:pt idx="3">
                    <c:v>Tea</c:v>
                  </c:pt>
                  <c:pt idx="4">
                    <c:v>Bakery</c:v>
                  </c:pt>
                  <c:pt idx="5">
                    <c:v>Coffee</c:v>
                  </c:pt>
                  <c:pt idx="6">
                    <c:v>Drinking Chocolate</c:v>
                  </c:pt>
                  <c:pt idx="7">
                    <c:v>Tea</c:v>
                  </c:pt>
                  <c:pt idx="8">
                    <c:v>Bakery</c:v>
                  </c:pt>
                  <c:pt idx="9">
                    <c:v>Coffee</c:v>
                  </c:pt>
                  <c:pt idx="10">
                    <c:v>Drinking Chocolate</c:v>
                  </c:pt>
                  <c:pt idx="11">
                    <c:v>Tea</c:v>
                  </c:pt>
                </c:lvl>
                <c:lvl>
                  <c:pt idx="0">
                    <c:v>Astoria</c:v>
                  </c:pt>
                  <c:pt idx="4">
                    <c:v>Hell's Kitchen</c:v>
                  </c:pt>
                  <c:pt idx="8">
                    <c:v>Lower Manhattan</c:v>
                  </c:pt>
                </c:lvl>
              </c:multiLvlStrCache>
            </c:multiLvlStrRef>
          </c:cat>
          <c:val>
            <c:numRef>
              <c:f>'PIVOT TABLE'!$K$19:$K$34</c:f>
              <c:numCache>
                <c:formatCode>General</c:formatCode>
                <c:ptCount val="12"/>
                <c:pt idx="0">
                  <c:v>1033.6299999999997</c:v>
                </c:pt>
                <c:pt idx="1">
                  <c:v>1078.8799999999999</c:v>
                </c:pt>
                <c:pt idx="2">
                  <c:v>984.19000000000017</c:v>
                </c:pt>
                <c:pt idx="3">
                  <c:v>977.42</c:v>
                </c:pt>
                <c:pt idx="4">
                  <c:v>812.04000000000019</c:v>
                </c:pt>
                <c:pt idx="5">
                  <c:v>923.87000000000012</c:v>
                </c:pt>
                <c:pt idx="6">
                  <c:v>843.9</c:v>
                </c:pt>
                <c:pt idx="7">
                  <c:v>1162.42</c:v>
                </c:pt>
                <c:pt idx="8">
                  <c:v>1220.57</c:v>
                </c:pt>
                <c:pt idx="9">
                  <c:v>986.9400000000004</c:v>
                </c:pt>
                <c:pt idx="10">
                  <c:v>901.62999999999977</c:v>
                </c:pt>
                <c:pt idx="11">
                  <c:v>1011.1400000000003</c:v>
                </c:pt>
              </c:numCache>
            </c:numRef>
          </c:val>
          <c:extLst>
            <c:ext xmlns:c16="http://schemas.microsoft.com/office/drawing/2014/chart" uri="{C3380CC4-5D6E-409C-BE32-E72D297353CC}">
              <c16:uniqueId val="{00000000-DB96-4140-8996-14479C0ABCCE}"/>
            </c:ext>
          </c:extLst>
        </c:ser>
        <c:dLbls>
          <c:showLegendKey val="0"/>
          <c:showVal val="0"/>
          <c:showCatName val="0"/>
          <c:showSerName val="0"/>
          <c:showPercent val="0"/>
          <c:showBubbleSize val="0"/>
        </c:dLbls>
        <c:gapWidth val="150"/>
        <c:overlap val="100"/>
        <c:axId val="1315300976"/>
        <c:axId val="1315317776"/>
      </c:barChart>
      <c:catAx>
        <c:axId val="131530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317776"/>
        <c:crosses val="autoZero"/>
        <c:auto val="1"/>
        <c:lblAlgn val="ctr"/>
        <c:lblOffset val="100"/>
        <c:noMultiLvlLbl val="0"/>
      </c:catAx>
      <c:valAx>
        <c:axId val="1315317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300976"/>
        <c:crosses val="autoZero"/>
        <c:crossBetween val="between"/>
      </c:valAx>
      <c:spPr>
        <a:noFill/>
        <a:ln>
          <a:solidFill>
            <a:srgbClr val="542A0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4A7"/>
    </a:solidFill>
    <a:ln w="9525" cap="flat" cmpd="sng" algn="ctr">
      <a:solidFill>
        <a:srgbClr val="542A00"/>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[Coffee_Shop_Sales_Dataset.xlsx]PIVOT TABLE!PivotTable4</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2"/>
          </a:solidFill>
          <a:ln>
            <a:noFill/>
          </a:ln>
          <a:effectLst>
            <a:outerShdw blurRad="317500" algn="ctr" rotWithShape="0">
              <a:prstClr val="black">
                <a:alpha val="25000"/>
              </a:prstClr>
            </a:outerShdw>
          </a:effectLst>
        </c:spPr>
        <c:marker>
          <c:spPr>
            <a:solidFill>
              <a:schemeClr val="accent2"/>
            </a:solidFill>
            <a:ln w="9525">
              <a:solidFill>
                <a:schemeClr val="lt1"/>
              </a:solidFill>
            </a:ln>
            <a:effectLst/>
          </c:spPr>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dLbl>
          <c:idx val="0"/>
          <c:layout>
            <c:manualLayout>
              <c:x val="4.5963634390662408E-2"/>
              <c:y val="1.6610423697037871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dLbl>
          <c:idx val="0"/>
          <c:layout>
            <c:manualLayout>
              <c:x val="5.6119147897210522E-2"/>
              <c:y val="-7.433997220935618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dLbl>
          <c:idx val="0"/>
          <c:layout>
            <c:manualLayout>
              <c:x val="-7.5495940914362486E-2"/>
              <c:y val="-7.9884867332759998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dLbl>
          <c:idx val="0"/>
          <c:layout>
            <c:manualLayout>
              <c:x val="-7.2114386864432639E-2"/>
              <c:y val="2.899600785195964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rgbClr val="542A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542A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2"/>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shade val="86000"/>
            </a:schemeClr>
          </a:solidFill>
          <a:ln>
            <a:noFill/>
          </a:ln>
          <a:effectLst>
            <a:outerShdw blurRad="317500" algn="ctr" rotWithShape="0">
              <a:prstClr val="black">
                <a:alpha val="25000"/>
              </a:prstClr>
            </a:outerShdw>
          </a:effectLst>
        </c:spPr>
        <c:dLbl>
          <c:idx val="0"/>
          <c:layout>
            <c:manualLayout>
              <c:x val="8.3910443187993441E-2"/>
              <c:y val="1.3120911192071141E-3"/>
            </c:manualLayout>
          </c:layout>
          <c:spPr>
            <a:solidFill>
              <a:sysClr val="window" lastClr="FFFFFF">
                <a:alpha val="75000"/>
              </a:sysClr>
            </a:solidFill>
            <a:ln w="9525">
              <a:solidFill>
                <a:srgbClr val="542A00"/>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rgbClr val="542A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190563927853387"/>
                  <c:h val="0.23676492111348535"/>
                </c:manualLayout>
              </c15:layout>
            </c:ext>
          </c:extLst>
        </c:dLbl>
      </c:pivotFmt>
      <c:pivotFmt>
        <c:idx val="14"/>
        <c:spPr>
          <a:solidFill>
            <a:schemeClr val="accent2">
              <a:shade val="58000"/>
            </a:schemeClr>
          </a:solidFill>
          <a:ln>
            <a:noFill/>
          </a:ln>
          <a:effectLst>
            <a:outerShdw blurRad="317500" algn="ctr" rotWithShape="0">
              <a:prstClr val="black">
                <a:alpha val="25000"/>
              </a:prstClr>
            </a:outerShdw>
          </a:effectLst>
        </c:spPr>
        <c:dLbl>
          <c:idx val="0"/>
          <c:layout>
            <c:manualLayout>
              <c:x val="7.6047122688959037E-2"/>
              <c:y val="5.48610294981784E-2"/>
            </c:manualLayout>
          </c:layout>
          <c:spPr>
            <a:solidFill>
              <a:sysClr val="window" lastClr="FFFFFF">
                <a:alpha val="75000"/>
              </a:sysClr>
            </a:solidFill>
            <a:ln w="9525">
              <a:solidFill>
                <a:srgbClr val="542A00"/>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rgbClr val="542A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192273151286553"/>
                  <c:h val="0.19339441305896243"/>
                </c:manualLayout>
              </c15:layout>
            </c:ext>
          </c:extLst>
        </c:dLbl>
      </c:pivotFmt>
      <c:pivotFmt>
        <c:idx val="15"/>
        <c:spPr>
          <a:solidFill>
            <a:schemeClr val="accent2">
              <a:tint val="58000"/>
            </a:schemeClr>
          </a:solidFill>
          <a:ln>
            <a:noFill/>
          </a:ln>
          <a:effectLst>
            <a:outerShdw blurRad="317500" algn="ctr" rotWithShape="0">
              <a:prstClr val="black">
                <a:alpha val="25000"/>
              </a:prstClr>
            </a:outerShdw>
          </a:effectLst>
        </c:spPr>
        <c:dLbl>
          <c:idx val="0"/>
          <c:layout>
            <c:manualLayout>
              <c:x val="-7.8769706766786601E-2"/>
              <c:y val="8.4675916439813051E-2"/>
            </c:manualLayout>
          </c:layout>
          <c:spPr>
            <a:solidFill>
              <a:sysClr val="window" lastClr="FFFFFF">
                <a:alpha val="75000"/>
              </a:sysClr>
            </a:solidFill>
            <a:ln w="9525">
              <a:solidFill>
                <a:srgbClr val="542A00"/>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rgbClr val="542A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87090438198536"/>
                  <c:h val="0.19339441305896243"/>
                </c:manualLayout>
              </c15:layout>
            </c:ext>
          </c:extLst>
        </c:dLbl>
      </c:pivotFmt>
      <c:pivotFmt>
        <c:idx val="16"/>
        <c:spPr>
          <a:solidFill>
            <a:schemeClr val="accent2">
              <a:tint val="86000"/>
            </a:schemeClr>
          </a:solidFill>
          <a:ln>
            <a:noFill/>
          </a:ln>
          <a:effectLst>
            <a:outerShdw blurRad="317500" algn="ctr" rotWithShape="0">
              <a:prstClr val="black">
                <a:alpha val="25000"/>
              </a:prstClr>
            </a:outerShdw>
          </a:effectLst>
        </c:spPr>
        <c:dLbl>
          <c:idx val="0"/>
          <c:layout>
            <c:manualLayout>
              <c:x val="-3.1985876490108339E-2"/>
              <c:y val="-1.2011791436518196E-2"/>
            </c:manualLayout>
          </c:layout>
          <c:spPr>
            <a:solidFill>
              <a:sysClr val="window" lastClr="FFFFFF">
                <a:alpha val="75000"/>
              </a:sysClr>
            </a:solidFill>
            <a:ln w="9525">
              <a:solidFill>
                <a:srgbClr val="542A00"/>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rgbClr val="542A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172909677681019"/>
                  <c:h val="0.24353247665603137"/>
                </c:manualLayout>
              </c15:layout>
            </c:ext>
          </c:extLst>
        </c:dLbl>
      </c:pivotFmt>
      <c:pivotFmt>
        <c:idx val="17"/>
        <c:spPr>
          <a:solidFill>
            <a:schemeClr val="accent2">
              <a:shade val="58000"/>
            </a:schemeClr>
          </a:solidFill>
          <a:ln>
            <a:noFill/>
          </a:ln>
          <a:effectLst>
            <a:outerShdw blurRad="317500" algn="ctr" rotWithShape="0">
              <a:prstClr val="black">
                <a:alpha val="25000"/>
              </a:prstClr>
            </a:outerShdw>
          </a:effectLst>
        </c:spPr>
      </c:pivotFmt>
      <c:pivotFmt>
        <c:idx val="18"/>
        <c:spPr>
          <a:solidFill>
            <a:schemeClr val="accent2">
              <a:shade val="86000"/>
            </a:schemeClr>
          </a:solidFill>
          <a:ln>
            <a:noFill/>
          </a:ln>
          <a:effectLst>
            <a:outerShdw blurRad="317500" algn="ctr" rotWithShape="0">
              <a:prstClr val="black">
                <a:alpha val="25000"/>
              </a:prstClr>
            </a:outerShdw>
          </a:effectLst>
        </c:spPr>
      </c:pivotFmt>
      <c:pivotFmt>
        <c:idx val="19"/>
        <c:spPr>
          <a:solidFill>
            <a:schemeClr val="accent2">
              <a:tint val="86000"/>
            </a:schemeClr>
          </a:solidFill>
          <a:ln>
            <a:noFill/>
          </a:ln>
          <a:effectLst>
            <a:outerShdw blurRad="317500" algn="ctr" rotWithShape="0">
              <a:prstClr val="black">
                <a:alpha val="25000"/>
              </a:prstClr>
            </a:outerShdw>
          </a:effectLst>
        </c:spPr>
      </c:pivotFmt>
      <c:pivotFmt>
        <c:idx val="20"/>
        <c:spPr>
          <a:solidFill>
            <a:schemeClr val="accent2">
              <a:tint val="58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31633380264553024"/>
          <c:y val="0.128745523909883"/>
          <c:w val="0.40412415335500279"/>
          <c:h val="0.68055108353091553"/>
        </c:manualLayout>
      </c:layout>
      <c:pieChart>
        <c:varyColors val="1"/>
        <c:ser>
          <c:idx val="0"/>
          <c:order val="0"/>
          <c:tx>
            <c:strRef>
              <c:f>'PIVOT TABLE'!$N$17</c:f>
              <c:strCache>
                <c:ptCount val="1"/>
                <c:pt idx="0">
                  <c:v>Sum of Quantity</c:v>
                </c:pt>
              </c:strCache>
            </c:strRef>
          </c:tx>
          <c:dPt>
            <c:idx val="0"/>
            <c:bubble3D val="0"/>
            <c:spPr>
              <a:solidFill>
                <a:schemeClr val="accent2">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265-4336-A979-D6D735EF9B68}"/>
              </c:ext>
            </c:extLst>
          </c:dPt>
          <c:dPt>
            <c:idx val="1"/>
            <c:bubble3D val="0"/>
            <c:spPr>
              <a:solidFill>
                <a:schemeClr val="accent2">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265-4336-A979-D6D735EF9B68}"/>
              </c:ext>
            </c:extLst>
          </c:dPt>
          <c:dPt>
            <c:idx val="2"/>
            <c:bubble3D val="0"/>
            <c:spPr>
              <a:solidFill>
                <a:schemeClr val="accent2">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265-4336-A979-D6D735EF9B68}"/>
              </c:ext>
            </c:extLst>
          </c:dPt>
          <c:dPt>
            <c:idx val="3"/>
            <c:bubble3D val="0"/>
            <c:spPr>
              <a:solidFill>
                <a:schemeClr val="accent2">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265-4336-A979-D6D735EF9B68}"/>
              </c:ext>
            </c:extLst>
          </c:dPt>
          <c:dLbls>
            <c:dLbl>
              <c:idx val="0"/>
              <c:layout>
                <c:manualLayout>
                  <c:x val="7.6047122688959037E-2"/>
                  <c:y val="5.48610294981784E-2"/>
                </c:manualLayout>
              </c:layout>
              <c:spPr>
                <a:solidFill>
                  <a:sysClr val="window" lastClr="FFFFFF">
                    <a:alpha val="75000"/>
                  </a:sysClr>
                </a:solidFill>
                <a:ln w="9525">
                  <a:solidFill>
                    <a:srgbClr val="542A00"/>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rgbClr val="542A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192273151286553"/>
                      <c:h val="0.19339441305896243"/>
                    </c:manualLayout>
                  </c15:layout>
                </c:ext>
                <c:ext xmlns:c16="http://schemas.microsoft.com/office/drawing/2014/chart" uri="{C3380CC4-5D6E-409C-BE32-E72D297353CC}">
                  <c16:uniqueId val="{00000001-5265-4336-A979-D6D735EF9B68}"/>
                </c:ext>
              </c:extLst>
            </c:dLbl>
            <c:dLbl>
              <c:idx val="1"/>
              <c:layout>
                <c:manualLayout>
                  <c:x val="8.3910443187993441E-2"/>
                  <c:y val="1.3120911192071141E-3"/>
                </c:manualLayout>
              </c:layout>
              <c:spPr>
                <a:solidFill>
                  <a:sysClr val="window" lastClr="FFFFFF">
                    <a:alpha val="75000"/>
                  </a:sysClr>
                </a:solidFill>
                <a:ln w="9525">
                  <a:solidFill>
                    <a:srgbClr val="542A00"/>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rgbClr val="542A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190563927853387"/>
                      <c:h val="0.23676492111348535"/>
                    </c:manualLayout>
                  </c15:layout>
                </c:ext>
                <c:ext xmlns:c16="http://schemas.microsoft.com/office/drawing/2014/chart" uri="{C3380CC4-5D6E-409C-BE32-E72D297353CC}">
                  <c16:uniqueId val="{00000003-5265-4336-A979-D6D735EF9B68}"/>
                </c:ext>
              </c:extLst>
            </c:dLbl>
            <c:dLbl>
              <c:idx val="2"/>
              <c:layout>
                <c:manualLayout>
                  <c:x val="-3.1985876490108339E-2"/>
                  <c:y val="-1.2011791436518196E-2"/>
                </c:manualLayout>
              </c:layout>
              <c:spPr>
                <a:solidFill>
                  <a:sysClr val="window" lastClr="FFFFFF">
                    <a:alpha val="75000"/>
                  </a:sysClr>
                </a:solidFill>
                <a:ln w="9525">
                  <a:solidFill>
                    <a:srgbClr val="542A00"/>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rgbClr val="542A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172909677681019"/>
                      <c:h val="0.24353247665603137"/>
                    </c:manualLayout>
                  </c15:layout>
                </c:ext>
                <c:ext xmlns:c16="http://schemas.microsoft.com/office/drawing/2014/chart" uri="{C3380CC4-5D6E-409C-BE32-E72D297353CC}">
                  <c16:uniqueId val="{00000005-5265-4336-A979-D6D735EF9B68}"/>
                </c:ext>
              </c:extLst>
            </c:dLbl>
            <c:dLbl>
              <c:idx val="3"/>
              <c:layout>
                <c:manualLayout>
                  <c:x val="-7.8769706766786601E-2"/>
                  <c:y val="8.4675916439813051E-2"/>
                </c:manualLayout>
              </c:layout>
              <c:spPr>
                <a:solidFill>
                  <a:sysClr val="window" lastClr="FFFFFF">
                    <a:alpha val="75000"/>
                  </a:sysClr>
                </a:solidFill>
                <a:ln w="9525">
                  <a:solidFill>
                    <a:srgbClr val="542A00"/>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rgbClr val="542A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87090438198536"/>
                      <c:h val="0.19339441305896243"/>
                    </c:manualLayout>
                  </c15:layout>
                </c:ext>
                <c:ext xmlns:c16="http://schemas.microsoft.com/office/drawing/2014/chart" uri="{C3380CC4-5D6E-409C-BE32-E72D297353CC}">
                  <c16:uniqueId val="{00000007-5265-4336-A979-D6D735EF9B68}"/>
                </c:ext>
              </c:extLst>
            </c:dLbl>
            <c:spPr>
              <a:solidFill>
                <a:sysClr val="window" lastClr="FFFFFF">
                  <a:alpha val="75000"/>
                </a:sysClr>
              </a:solidFill>
              <a:ln w="9525">
                <a:solidFill>
                  <a:srgbClr val="542A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542A00"/>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TABLE'!$M$18:$M$22</c:f>
              <c:strCache>
                <c:ptCount val="4"/>
                <c:pt idx="0">
                  <c:v>Bakery</c:v>
                </c:pt>
                <c:pt idx="1">
                  <c:v>Coffee</c:v>
                </c:pt>
                <c:pt idx="2">
                  <c:v>Drinking Chocolate</c:v>
                </c:pt>
                <c:pt idx="3">
                  <c:v>Tea</c:v>
                </c:pt>
              </c:strCache>
            </c:strRef>
          </c:cat>
          <c:val>
            <c:numRef>
              <c:f>'PIVOT TABLE'!$N$18:$N$22</c:f>
              <c:numCache>
                <c:formatCode>General</c:formatCode>
                <c:ptCount val="4"/>
                <c:pt idx="0">
                  <c:v>761</c:v>
                </c:pt>
                <c:pt idx="1">
                  <c:v>749</c:v>
                </c:pt>
                <c:pt idx="2">
                  <c:v>679</c:v>
                </c:pt>
                <c:pt idx="3">
                  <c:v>805</c:v>
                </c:pt>
              </c:numCache>
            </c:numRef>
          </c:val>
          <c:extLst>
            <c:ext xmlns:c16="http://schemas.microsoft.com/office/drawing/2014/chart" uri="{C3380CC4-5D6E-409C-BE32-E72D297353CC}">
              <c16:uniqueId val="{00000008-5265-4336-A979-D6D735EF9B68}"/>
            </c:ext>
          </c:extLst>
        </c:ser>
        <c:ser>
          <c:idx val="1"/>
          <c:order val="1"/>
          <c:tx>
            <c:strRef>
              <c:f>'PIVOT TABLE'!$O$17</c:f>
              <c:strCache>
                <c:ptCount val="1"/>
                <c:pt idx="0">
                  <c:v>Sum of Total Sales</c:v>
                </c:pt>
              </c:strCache>
            </c:strRef>
          </c:tx>
          <c:dPt>
            <c:idx val="0"/>
            <c:bubble3D val="0"/>
            <c:spPr>
              <a:solidFill>
                <a:schemeClr val="accent2">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C36-4C8C-8F3E-125AA6CE303B}"/>
              </c:ext>
            </c:extLst>
          </c:dPt>
          <c:dPt>
            <c:idx val="1"/>
            <c:bubble3D val="0"/>
            <c:spPr>
              <a:solidFill>
                <a:schemeClr val="accent2">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9C36-4C8C-8F3E-125AA6CE303B}"/>
              </c:ext>
            </c:extLst>
          </c:dPt>
          <c:dPt>
            <c:idx val="2"/>
            <c:bubble3D val="0"/>
            <c:spPr>
              <a:solidFill>
                <a:schemeClr val="accent2">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9C36-4C8C-8F3E-125AA6CE303B}"/>
              </c:ext>
            </c:extLst>
          </c:dPt>
          <c:dPt>
            <c:idx val="3"/>
            <c:bubble3D val="0"/>
            <c:spPr>
              <a:solidFill>
                <a:schemeClr val="accent2">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9C36-4C8C-8F3E-125AA6CE303B}"/>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TABLE'!$M$18:$M$22</c:f>
              <c:strCache>
                <c:ptCount val="4"/>
                <c:pt idx="0">
                  <c:v>Bakery</c:v>
                </c:pt>
                <c:pt idx="1">
                  <c:v>Coffee</c:v>
                </c:pt>
                <c:pt idx="2">
                  <c:v>Drinking Chocolate</c:v>
                </c:pt>
                <c:pt idx="3">
                  <c:v>Tea</c:v>
                </c:pt>
              </c:strCache>
            </c:strRef>
          </c:cat>
          <c:val>
            <c:numRef>
              <c:f>'PIVOT TABLE'!$O$18:$O$22</c:f>
              <c:numCache>
                <c:formatCode>General</c:formatCode>
                <c:ptCount val="4"/>
                <c:pt idx="0">
                  <c:v>3066.2399999999993</c:v>
                </c:pt>
                <c:pt idx="1">
                  <c:v>2989.69</c:v>
                </c:pt>
                <c:pt idx="2">
                  <c:v>2729.7199999999989</c:v>
                </c:pt>
                <c:pt idx="3">
                  <c:v>3150.9800000000009</c:v>
                </c:pt>
              </c:numCache>
            </c:numRef>
          </c:val>
          <c:extLst>
            <c:ext xmlns:c16="http://schemas.microsoft.com/office/drawing/2014/chart" uri="{C3380CC4-5D6E-409C-BE32-E72D297353CC}">
              <c16:uniqueId val="{0000000A-5265-4336-A979-D6D735EF9B68}"/>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4A7"/>
    </a:solidFill>
    <a:ln w="9525" cap="flat" cmpd="sng" algn="ctr">
      <a:solidFill>
        <a:srgbClr val="542A00"/>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[Coffee_Shop_Sales_Dataset.xlsx]PIVOT TABLE!PivotTable5</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42A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3300"/>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42A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79720334744029"/>
          <c:y val="4.0987122703412072E-2"/>
          <c:w val="0.66724134054977602"/>
          <c:h val="0.86423023293963253"/>
        </c:manualLayout>
      </c:layout>
      <c:barChart>
        <c:barDir val="bar"/>
        <c:grouping val="clustered"/>
        <c:varyColors val="0"/>
        <c:ser>
          <c:idx val="0"/>
          <c:order val="0"/>
          <c:tx>
            <c:strRef>
              <c:f>'PIVOT TABLE'!$O$32</c:f>
              <c:strCache>
                <c:ptCount val="1"/>
                <c:pt idx="0">
                  <c:v>Total</c:v>
                </c:pt>
              </c:strCache>
            </c:strRef>
          </c:tx>
          <c:spPr>
            <a:solidFill>
              <a:srgbClr val="663300"/>
            </a:solidFill>
            <a:ln>
              <a:noFill/>
            </a:ln>
            <a:effectLst/>
          </c:spPr>
          <c:invertIfNegative val="0"/>
          <c:dPt>
            <c:idx val="7"/>
            <c:invertIfNegative val="0"/>
            <c:bubble3D val="0"/>
            <c:spPr>
              <a:solidFill>
                <a:srgbClr val="663300"/>
              </a:solidFill>
              <a:ln>
                <a:noFill/>
              </a:ln>
              <a:effectLst/>
            </c:spPr>
            <c:extLst>
              <c:ext xmlns:c16="http://schemas.microsoft.com/office/drawing/2014/chart" uri="{C3380CC4-5D6E-409C-BE32-E72D297353CC}">
                <c16:uniqueId val="{00000000-46D3-4BE8-AB7A-4BAF196C4B11}"/>
              </c:ext>
            </c:extLst>
          </c:dPt>
          <c:dLbls>
            <c:dLbl>
              <c:idx val="7"/>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6D3-4BE8-AB7A-4BAF196C4B1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42A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TABLE'!$N$33:$N$44</c:f>
              <c:strCache>
                <c:ptCount val="11"/>
                <c:pt idx="0">
                  <c:v>Americano</c:v>
                </c:pt>
                <c:pt idx="1">
                  <c:v>Bagel</c:v>
                </c:pt>
                <c:pt idx="2">
                  <c:v>Black Tea</c:v>
                </c:pt>
                <c:pt idx="3">
                  <c:v>Cappuccino</c:v>
                </c:pt>
                <c:pt idx="4">
                  <c:v>Chai Tea</c:v>
                </c:pt>
                <c:pt idx="5">
                  <c:v>Croissant</c:v>
                </c:pt>
                <c:pt idx="6">
                  <c:v>Espresso</c:v>
                </c:pt>
                <c:pt idx="7">
                  <c:v>Green Tea</c:v>
                </c:pt>
                <c:pt idx="8">
                  <c:v>Hot Chocolate</c:v>
                </c:pt>
                <c:pt idx="9">
                  <c:v>Latte</c:v>
                </c:pt>
                <c:pt idx="10">
                  <c:v>Muffin</c:v>
                </c:pt>
              </c:strCache>
            </c:strRef>
          </c:cat>
          <c:val>
            <c:numRef>
              <c:f>'PIVOT TABLE'!$O$33:$O$44</c:f>
              <c:numCache>
                <c:formatCode>General</c:formatCode>
                <c:ptCount val="11"/>
                <c:pt idx="0">
                  <c:v>228.23999999999995</c:v>
                </c:pt>
                <c:pt idx="1">
                  <c:v>281.90000000000003</c:v>
                </c:pt>
                <c:pt idx="2">
                  <c:v>380.2600000000001</c:v>
                </c:pt>
                <c:pt idx="3">
                  <c:v>253.35999999999999</c:v>
                </c:pt>
                <c:pt idx="4">
                  <c:v>358.4899999999999</c:v>
                </c:pt>
                <c:pt idx="5">
                  <c:v>381.61</c:v>
                </c:pt>
                <c:pt idx="6">
                  <c:v>276.90999999999991</c:v>
                </c:pt>
                <c:pt idx="7">
                  <c:v>304.85000000000008</c:v>
                </c:pt>
                <c:pt idx="8">
                  <c:v>911.83</c:v>
                </c:pt>
                <c:pt idx="9">
                  <c:v>283.20999999999998</c:v>
                </c:pt>
                <c:pt idx="10">
                  <c:v>340.62000000000006</c:v>
                </c:pt>
              </c:numCache>
            </c:numRef>
          </c:val>
          <c:extLst>
            <c:ext xmlns:c16="http://schemas.microsoft.com/office/drawing/2014/chart" uri="{C3380CC4-5D6E-409C-BE32-E72D297353CC}">
              <c16:uniqueId val="{00000000-00FE-4A93-8896-B6A0B24E9EBB}"/>
            </c:ext>
          </c:extLst>
        </c:ser>
        <c:dLbls>
          <c:dLblPos val="inEnd"/>
          <c:showLegendKey val="0"/>
          <c:showVal val="1"/>
          <c:showCatName val="0"/>
          <c:showSerName val="0"/>
          <c:showPercent val="0"/>
          <c:showBubbleSize val="0"/>
        </c:dLbls>
        <c:gapWidth val="182"/>
        <c:axId val="1549006464"/>
        <c:axId val="1549006944"/>
      </c:barChart>
      <c:catAx>
        <c:axId val="1549006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006944"/>
        <c:crosses val="autoZero"/>
        <c:auto val="1"/>
        <c:lblAlgn val="ctr"/>
        <c:lblOffset val="100"/>
        <c:noMultiLvlLbl val="0"/>
      </c:catAx>
      <c:valAx>
        <c:axId val="1549006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006464"/>
        <c:crosses val="autoZero"/>
        <c:crossBetween val="between"/>
      </c:valAx>
      <c:spPr>
        <a:noFill/>
        <a:ln>
          <a:solidFill>
            <a:srgbClr val="542A00"/>
          </a:solidFill>
        </a:ln>
        <a:effectLst>
          <a:innerShdw blurRad="63500" dist="50800" dir="13500000">
            <a:prstClr val="black">
              <a:alpha val="50000"/>
            </a:prstClr>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4A7"/>
    </a:solidFill>
    <a:ln w="9525" cap="flat" cmpd="sng" algn="ctr">
      <a:solidFill>
        <a:srgbClr val="542A00"/>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[Coffee_Shop_Sales_Dataset.xlsx]PIVOT TABLE!PivotTable8</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42A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542A00"/>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42A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42A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66666666666666E-2"/>
              <c:y val="-0.1993620414673046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42A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42A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111111111111136E-2"/>
              <c:y val="-0.2392344497607655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42A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42A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8286E-3"/>
              <c:y val="-0.223285486443381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42A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42A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4356E-3"/>
              <c:y val="-0.199362041467304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42A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42A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0.2312599681020734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42A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42A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4356E-3"/>
              <c:y val="-0.2472089314194577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42A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25371828521428E-2"/>
          <c:y val="0.15980502437195351"/>
          <c:w val="0.88196084864391955"/>
          <c:h val="0.52612073490813649"/>
        </c:manualLayout>
      </c:layout>
      <c:areaChart>
        <c:grouping val="standard"/>
        <c:varyColors val="0"/>
        <c:ser>
          <c:idx val="0"/>
          <c:order val="0"/>
          <c:tx>
            <c:strRef>
              <c:f>'PIVOT TABLE'!$Z$45</c:f>
              <c:strCache>
                <c:ptCount val="1"/>
                <c:pt idx="0">
                  <c:v>Total</c:v>
                </c:pt>
              </c:strCache>
            </c:strRef>
          </c:tx>
          <c:spPr>
            <a:solidFill>
              <a:srgbClr val="542A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dLbl>
              <c:idx val="0"/>
              <c:layout>
                <c:manualLayout>
                  <c:x val="1.6666666666666666E-2"/>
                  <c:y val="-0.199362041467304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D1-47F9-9641-B482E0A2CE1A}"/>
                </c:ext>
              </c:extLst>
            </c:dLbl>
            <c:dLbl>
              <c:idx val="1"/>
              <c:layout>
                <c:manualLayout>
                  <c:x val="-1.1111111111111136E-2"/>
                  <c:y val="-0.239234449760765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D1-47F9-9641-B482E0A2CE1A}"/>
                </c:ext>
              </c:extLst>
            </c:dLbl>
            <c:dLbl>
              <c:idx val="2"/>
              <c:layout>
                <c:manualLayout>
                  <c:x val="-2.7777777777778286E-3"/>
                  <c:y val="-0.223285486443381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D1-47F9-9641-B482E0A2CE1A}"/>
                </c:ext>
              </c:extLst>
            </c:dLbl>
            <c:dLbl>
              <c:idx val="3"/>
              <c:layout>
                <c:manualLayout>
                  <c:x val="-8.3333333333334356E-3"/>
                  <c:y val="-0.1993620414673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D1-47F9-9641-B482E0A2CE1A}"/>
                </c:ext>
              </c:extLst>
            </c:dLbl>
            <c:dLbl>
              <c:idx val="4"/>
              <c:layout>
                <c:manualLayout>
                  <c:x val="-5.5555555555555558E-3"/>
                  <c:y val="-0.231259968102073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D1-47F9-9641-B482E0A2CE1A}"/>
                </c:ext>
              </c:extLst>
            </c:dLbl>
            <c:dLbl>
              <c:idx val="5"/>
              <c:layout>
                <c:manualLayout>
                  <c:x val="-8.3333333333334356E-3"/>
                  <c:y val="-0.247208931419457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3D1-47F9-9641-B482E0A2CE1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42A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TABLE'!$Y$46:$Y$52</c:f>
              <c:strCache>
                <c:ptCount val="6"/>
                <c:pt idx="0">
                  <c:v>January</c:v>
                </c:pt>
                <c:pt idx="1">
                  <c:v>February</c:v>
                </c:pt>
                <c:pt idx="2">
                  <c:v>March</c:v>
                </c:pt>
                <c:pt idx="3">
                  <c:v>April</c:v>
                </c:pt>
                <c:pt idx="4">
                  <c:v>May</c:v>
                </c:pt>
                <c:pt idx="5">
                  <c:v>June</c:v>
                </c:pt>
              </c:strCache>
            </c:strRef>
          </c:cat>
          <c:val>
            <c:numRef>
              <c:f>'PIVOT TABLE'!$Z$46:$Z$52</c:f>
              <c:numCache>
                <c:formatCode>General</c:formatCode>
                <c:ptCount val="6"/>
                <c:pt idx="0">
                  <c:v>2002.4999999999998</c:v>
                </c:pt>
                <c:pt idx="1">
                  <c:v>1816.78</c:v>
                </c:pt>
                <c:pt idx="2">
                  <c:v>1964.6199999999997</c:v>
                </c:pt>
                <c:pt idx="3">
                  <c:v>1800.2099999999994</c:v>
                </c:pt>
                <c:pt idx="4">
                  <c:v>2174.5499999999993</c:v>
                </c:pt>
                <c:pt idx="5">
                  <c:v>2177.9700000000007</c:v>
                </c:pt>
              </c:numCache>
            </c:numRef>
          </c:val>
          <c:extLst>
            <c:ext xmlns:c16="http://schemas.microsoft.com/office/drawing/2014/chart" uri="{C3380CC4-5D6E-409C-BE32-E72D297353CC}">
              <c16:uniqueId val="{00000000-03D1-47F9-9641-B482E0A2CE1A}"/>
            </c:ext>
          </c:extLst>
        </c:ser>
        <c:dLbls>
          <c:showLegendKey val="0"/>
          <c:showVal val="1"/>
          <c:showCatName val="0"/>
          <c:showSerName val="0"/>
          <c:showPercent val="0"/>
          <c:showBubbleSize val="0"/>
        </c:dLbls>
        <c:axId val="388578735"/>
        <c:axId val="388579215"/>
      </c:areaChart>
      <c:catAx>
        <c:axId val="38857873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579215"/>
        <c:crosses val="autoZero"/>
        <c:auto val="1"/>
        <c:lblAlgn val="ctr"/>
        <c:lblOffset val="100"/>
        <c:noMultiLvlLbl val="0"/>
      </c:catAx>
      <c:valAx>
        <c:axId val="38857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578735"/>
        <c:crosses val="autoZero"/>
        <c:crossBetween val="midCat"/>
      </c:valAx>
      <c:spPr>
        <a:noFill/>
        <a:ln>
          <a:solidFill>
            <a:srgbClr val="542A00"/>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C4A7"/>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3.png"/><Relationship Id="rId26" Type="http://schemas.openxmlformats.org/officeDocument/2006/relationships/image" Target="../media/image21.png"/><Relationship Id="rId3" Type="http://schemas.openxmlformats.org/officeDocument/2006/relationships/chart" Target="../charts/chart6.xml"/><Relationship Id="rId21" Type="http://schemas.openxmlformats.org/officeDocument/2006/relationships/image" Target="../media/image16.svg"/><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2.svg"/><Relationship Id="rId25" Type="http://schemas.openxmlformats.org/officeDocument/2006/relationships/image" Target="../media/image20.svg"/><Relationship Id="rId2" Type="http://schemas.openxmlformats.org/officeDocument/2006/relationships/image" Target="../media/image2.svg"/><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image" Target="../media/image7.png"/><Relationship Id="rId24" Type="http://schemas.openxmlformats.org/officeDocument/2006/relationships/image" Target="../media/image19.png"/><Relationship Id="rId5" Type="http://schemas.openxmlformats.org/officeDocument/2006/relationships/chart" Target="../charts/chart8.xml"/><Relationship Id="rId15" Type="http://schemas.openxmlformats.org/officeDocument/2006/relationships/chart" Target="../charts/chart10.xml"/><Relationship Id="rId23" Type="http://schemas.openxmlformats.org/officeDocument/2006/relationships/image" Target="../media/image18.svg"/><Relationship Id="rId10" Type="http://schemas.openxmlformats.org/officeDocument/2006/relationships/image" Target="../media/image6.svg"/><Relationship Id="rId19" Type="http://schemas.openxmlformats.org/officeDocument/2006/relationships/image" Target="../media/image14.svg"/><Relationship Id="rId4" Type="http://schemas.openxmlformats.org/officeDocument/2006/relationships/chart" Target="../charts/chart7.xml"/><Relationship Id="rId9" Type="http://schemas.openxmlformats.org/officeDocument/2006/relationships/image" Target="../media/image5.png"/><Relationship Id="rId14" Type="http://schemas.openxmlformats.org/officeDocument/2006/relationships/image" Target="../media/image10.svg"/><Relationship Id="rId22" Type="http://schemas.openxmlformats.org/officeDocument/2006/relationships/image" Target="../media/image17.png"/><Relationship Id="rId27" Type="http://schemas.openxmlformats.org/officeDocument/2006/relationships/image" Target="../media/image22.svg"/></Relationships>
</file>

<file path=xl/drawings/drawing1.xml><?xml version="1.0" encoding="utf-8"?>
<xdr:wsDr xmlns:xdr="http://schemas.openxmlformats.org/drawingml/2006/spreadsheetDrawing" xmlns:a="http://schemas.openxmlformats.org/drawingml/2006/main">
  <xdr:twoCellAnchor editAs="oneCell">
    <xdr:from>
      <xdr:col>1</xdr:col>
      <xdr:colOff>335280</xdr:colOff>
      <xdr:row>1</xdr:row>
      <xdr:rowOff>152400</xdr:rowOff>
    </xdr:from>
    <xdr:to>
      <xdr:col>3</xdr:col>
      <xdr:colOff>426720</xdr:colOff>
      <xdr:row>13</xdr:row>
      <xdr:rowOff>7619</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731A344B-826E-9D36-B9FA-0DBA92B4323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63040" y="335280"/>
              <a:ext cx="1828800" cy="2049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419100</xdr:colOff>
      <xdr:row>13</xdr:row>
      <xdr:rowOff>83821</xdr:rowOff>
    </xdr:from>
    <xdr:to>
      <xdr:col>3</xdr:col>
      <xdr:colOff>510540</xdr:colOff>
      <xdr:row>20</xdr:row>
      <xdr:rowOff>53341</xdr:rowOff>
    </xdr:to>
    <mc:AlternateContent xmlns:mc="http://schemas.openxmlformats.org/markup-compatibility/2006" xmlns:a14="http://schemas.microsoft.com/office/drawing/2010/main">
      <mc:Choice Requires="a14">
        <xdr:graphicFrame macro="">
          <xdr:nvGraphicFramePr>
            <xdr:cNvPr id="3" name="Store Location">
              <a:extLst>
                <a:ext uri="{FF2B5EF4-FFF2-40B4-BE49-F238E27FC236}">
                  <a16:creationId xmlns:a16="http://schemas.microsoft.com/office/drawing/2014/main" id="{829C92F8-EF46-8D7C-E1A7-9CB666F8C8E8}"/>
                </a:ext>
              </a:extLst>
            </xdr:cNvPr>
            <xdr:cNvGraphicFramePr/>
          </xdr:nvGraphicFramePr>
          <xdr:xfrm>
            <a:off x="0" y="0"/>
            <a:ext cx="0" cy="0"/>
          </xdr:xfrm>
          <a:graphic>
            <a:graphicData uri="http://schemas.microsoft.com/office/drawing/2010/slicer">
              <sle:slicer xmlns:sle="http://schemas.microsoft.com/office/drawing/2010/slicer" name="Store Location"/>
            </a:graphicData>
          </a:graphic>
        </xdr:graphicFrame>
      </mc:Choice>
      <mc:Fallback xmlns="">
        <xdr:sp macro="" textlink="">
          <xdr:nvSpPr>
            <xdr:cNvPr id="0" name=""/>
            <xdr:cNvSpPr>
              <a:spLocks noTextEdit="1"/>
            </xdr:cNvSpPr>
          </xdr:nvSpPr>
          <xdr:spPr>
            <a:xfrm>
              <a:off x="1546860" y="246126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601980</xdr:colOff>
      <xdr:row>13</xdr:row>
      <xdr:rowOff>11430</xdr:rowOff>
    </xdr:from>
    <xdr:to>
      <xdr:col>7</xdr:col>
      <xdr:colOff>426720</xdr:colOff>
      <xdr:row>23</xdr:row>
      <xdr:rowOff>129540</xdr:rowOff>
    </xdr:to>
    <xdr:graphicFrame macro="">
      <xdr:nvGraphicFramePr>
        <xdr:cNvPr id="4" name="Chart 3">
          <a:extLst>
            <a:ext uri="{FF2B5EF4-FFF2-40B4-BE49-F238E27FC236}">
              <a16:creationId xmlns:a16="http://schemas.microsoft.com/office/drawing/2014/main" id="{D37D790B-80A9-3711-FCA3-8759306C8E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83820</xdr:colOff>
      <xdr:row>1</xdr:row>
      <xdr:rowOff>182879</xdr:rowOff>
    </xdr:from>
    <xdr:to>
      <xdr:col>9</xdr:col>
      <xdr:colOff>220980</xdr:colOff>
      <xdr:row>12</xdr:row>
      <xdr:rowOff>99060</xdr:rowOff>
    </xdr:to>
    <mc:AlternateContent xmlns:mc="http://schemas.openxmlformats.org/markup-compatibility/2006" xmlns:a14="http://schemas.microsoft.com/office/drawing/2010/main">
      <mc:Choice Requires="a14">
        <xdr:graphicFrame macro="">
          <xdr:nvGraphicFramePr>
            <xdr:cNvPr id="6" name="Product Name">
              <a:extLst>
                <a:ext uri="{FF2B5EF4-FFF2-40B4-BE49-F238E27FC236}">
                  <a16:creationId xmlns:a16="http://schemas.microsoft.com/office/drawing/2014/main" id="{C9052C81-4EE6-F63C-DC41-4E1911726988}"/>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6065520" y="365759"/>
              <a:ext cx="1767840" cy="1927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95250</xdr:rowOff>
    </xdr:from>
    <xdr:to>
      <xdr:col>3</xdr:col>
      <xdr:colOff>548640</xdr:colOff>
      <xdr:row>35</xdr:row>
      <xdr:rowOff>95250</xdr:rowOff>
    </xdr:to>
    <xdr:graphicFrame macro="">
      <xdr:nvGraphicFramePr>
        <xdr:cNvPr id="8" name="Chart 7">
          <a:extLst>
            <a:ext uri="{FF2B5EF4-FFF2-40B4-BE49-F238E27FC236}">
              <a16:creationId xmlns:a16="http://schemas.microsoft.com/office/drawing/2014/main" id="{1774E0B4-CA0B-36BA-2CA7-2C9CE3D4A3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xdr:colOff>
      <xdr:row>8</xdr:row>
      <xdr:rowOff>19050</xdr:rowOff>
    </xdr:from>
    <xdr:to>
      <xdr:col>15</xdr:col>
      <xdr:colOff>594360</xdr:colOff>
      <xdr:row>19</xdr:row>
      <xdr:rowOff>91440</xdr:rowOff>
    </xdr:to>
    <xdr:graphicFrame macro="">
      <xdr:nvGraphicFramePr>
        <xdr:cNvPr id="9" name="Chart 8">
          <a:extLst>
            <a:ext uri="{FF2B5EF4-FFF2-40B4-BE49-F238E27FC236}">
              <a16:creationId xmlns:a16="http://schemas.microsoft.com/office/drawing/2014/main" id="{932C9D47-1976-E537-861E-AFCA59E96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632460</xdr:colOff>
      <xdr:row>35</xdr:row>
      <xdr:rowOff>110490</xdr:rowOff>
    </xdr:from>
    <xdr:to>
      <xdr:col>11</xdr:col>
      <xdr:colOff>1036320</xdr:colOff>
      <xdr:row>50</xdr:row>
      <xdr:rowOff>110490</xdr:rowOff>
    </xdr:to>
    <xdr:graphicFrame macro="">
      <xdr:nvGraphicFramePr>
        <xdr:cNvPr id="10" name="Chart 9">
          <a:extLst>
            <a:ext uri="{FF2B5EF4-FFF2-40B4-BE49-F238E27FC236}">
              <a16:creationId xmlns:a16="http://schemas.microsoft.com/office/drawing/2014/main" id="{755F9516-31A3-1324-F4A7-E014041CE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365760</xdr:colOff>
      <xdr:row>54</xdr:row>
      <xdr:rowOff>156210</xdr:rowOff>
    </xdr:from>
    <xdr:to>
      <xdr:col>25</xdr:col>
      <xdr:colOff>518160</xdr:colOff>
      <xdr:row>69</xdr:row>
      <xdr:rowOff>156210</xdr:rowOff>
    </xdr:to>
    <xdr:graphicFrame macro="">
      <xdr:nvGraphicFramePr>
        <xdr:cNvPr id="5" name="Chart 4">
          <a:extLst>
            <a:ext uri="{FF2B5EF4-FFF2-40B4-BE49-F238E27FC236}">
              <a16:creationId xmlns:a16="http://schemas.microsoft.com/office/drawing/2014/main" id="{6B27658A-396C-4F6A-D4E4-F65CED89C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45720</xdr:rowOff>
    </xdr:from>
    <xdr:to>
      <xdr:col>4</xdr:col>
      <xdr:colOff>502920</xdr:colOff>
      <xdr:row>5</xdr:row>
      <xdr:rowOff>53340</xdr:rowOff>
    </xdr:to>
    <xdr:sp macro="" textlink="">
      <xdr:nvSpPr>
        <xdr:cNvPr id="4" name="Rectangle: Rounded Corners 3">
          <a:extLst>
            <a:ext uri="{FF2B5EF4-FFF2-40B4-BE49-F238E27FC236}">
              <a16:creationId xmlns:a16="http://schemas.microsoft.com/office/drawing/2014/main" id="{2C015804-83F8-7E81-05C5-B5BB576F18C5}"/>
            </a:ext>
          </a:extLst>
        </xdr:cNvPr>
        <xdr:cNvSpPr/>
      </xdr:nvSpPr>
      <xdr:spPr>
        <a:xfrm>
          <a:off x="76200" y="45720"/>
          <a:ext cx="2865120" cy="876300"/>
        </a:xfrm>
        <a:prstGeom prst="roundRect">
          <a:avLst/>
        </a:prstGeom>
        <a:solidFill>
          <a:srgbClr val="542A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579120</xdr:colOff>
      <xdr:row>0</xdr:row>
      <xdr:rowOff>45720</xdr:rowOff>
    </xdr:from>
    <xdr:to>
      <xdr:col>8</xdr:col>
      <xdr:colOff>182880</xdr:colOff>
      <xdr:row>5</xdr:row>
      <xdr:rowOff>68580</xdr:rowOff>
    </xdr:to>
    <xdr:sp macro="" textlink="">
      <xdr:nvSpPr>
        <xdr:cNvPr id="5" name="Rectangle: Rounded Corners 4">
          <a:extLst>
            <a:ext uri="{FF2B5EF4-FFF2-40B4-BE49-F238E27FC236}">
              <a16:creationId xmlns:a16="http://schemas.microsoft.com/office/drawing/2014/main" id="{4F878C3A-D05C-4318-A256-D402E453099D}"/>
            </a:ext>
          </a:extLst>
        </xdr:cNvPr>
        <xdr:cNvSpPr/>
      </xdr:nvSpPr>
      <xdr:spPr>
        <a:xfrm>
          <a:off x="3017520" y="45720"/>
          <a:ext cx="2042160" cy="937260"/>
        </a:xfrm>
        <a:prstGeom prst="roundRect">
          <a:avLst/>
        </a:prstGeom>
        <a:solidFill>
          <a:srgbClr val="542A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rgbClr val="FFC4A7"/>
              </a:solidFill>
            </a:rPr>
            <a:t>Total sales</a:t>
          </a:r>
        </a:p>
      </xdr:txBody>
    </xdr:sp>
    <xdr:clientData/>
  </xdr:twoCellAnchor>
  <xdr:twoCellAnchor>
    <xdr:from>
      <xdr:col>8</xdr:col>
      <xdr:colOff>251460</xdr:colOff>
      <xdr:row>0</xdr:row>
      <xdr:rowOff>53340</xdr:rowOff>
    </xdr:from>
    <xdr:to>
      <xdr:col>11</xdr:col>
      <xdr:colOff>426720</xdr:colOff>
      <xdr:row>5</xdr:row>
      <xdr:rowOff>53340</xdr:rowOff>
    </xdr:to>
    <xdr:sp macro="" textlink="">
      <xdr:nvSpPr>
        <xdr:cNvPr id="7" name="Rectangle: Rounded Corners 6">
          <a:extLst>
            <a:ext uri="{FF2B5EF4-FFF2-40B4-BE49-F238E27FC236}">
              <a16:creationId xmlns:a16="http://schemas.microsoft.com/office/drawing/2014/main" id="{52250A0D-B697-4A22-A597-D784FCD4BBE1}"/>
            </a:ext>
          </a:extLst>
        </xdr:cNvPr>
        <xdr:cNvSpPr/>
      </xdr:nvSpPr>
      <xdr:spPr>
        <a:xfrm>
          <a:off x="5128260" y="53340"/>
          <a:ext cx="2004060" cy="868680"/>
        </a:xfrm>
        <a:prstGeom prst="roundRect">
          <a:avLst/>
        </a:prstGeom>
        <a:solidFill>
          <a:srgbClr val="542A00"/>
        </a:solidFill>
        <a:ln>
          <a:solidFill>
            <a:srgbClr val="542A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167640</xdr:colOff>
      <xdr:row>1</xdr:row>
      <xdr:rowOff>99060</xdr:rowOff>
    </xdr:from>
    <xdr:to>
      <xdr:col>4</xdr:col>
      <xdr:colOff>434340</xdr:colOff>
      <xdr:row>3</xdr:row>
      <xdr:rowOff>114300</xdr:rowOff>
    </xdr:to>
    <xdr:sp macro="" textlink="">
      <xdr:nvSpPr>
        <xdr:cNvPr id="8" name="TextBox 7">
          <a:extLst>
            <a:ext uri="{FF2B5EF4-FFF2-40B4-BE49-F238E27FC236}">
              <a16:creationId xmlns:a16="http://schemas.microsoft.com/office/drawing/2014/main" id="{17431D42-8012-83F8-3BCF-8B5F4060A717}"/>
            </a:ext>
          </a:extLst>
        </xdr:cNvPr>
        <xdr:cNvSpPr txBox="1"/>
      </xdr:nvSpPr>
      <xdr:spPr>
        <a:xfrm>
          <a:off x="777240" y="281940"/>
          <a:ext cx="2095500" cy="381000"/>
        </a:xfrm>
        <a:prstGeom prst="rect">
          <a:avLst/>
        </a:prstGeom>
        <a:solidFill>
          <a:srgbClr val="542A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FFC4A7"/>
              </a:solidFill>
            </a:rPr>
            <a:t>Coffee Shop</a:t>
          </a:r>
          <a:r>
            <a:rPr lang="en-IN" sz="2000" b="1" baseline="0">
              <a:solidFill>
                <a:srgbClr val="FFC4A7"/>
              </a:solidFill>
            </a:rPr>
            <a:t> Sales</a:t>
          </a:r>
          <a:endParaRPr lang="en-IN" sz="2000" b="1">
            <a:solidFill>
              <a:srgbClr val="FFC4A7"/>
            </a:solidFill>
          </a:endParaRPr>
        </a:p>
      </xdr:txBody>
    </xdr:sp>
    <xdr:clientData/>
  </xdr:twoCellAnchor>
  <xdr:twoCellAnchor editAs="oneCell">
    <xdr:from>
      <xdr:col>0</xdr:col>
      <xdr:colOff>106680</xdr:colOff>
      <xdr:row>0</xdr:row>
      <xdr:rowOff>60960</xdr:rowOff>
    </xdr:from>
    <xdr:to>
      <xdr:col>1</xdr:col>
      <xdr:colOff>289560</xdr:colOff>
      <xdr:row>4</xdr:row>
      <xdr:rowOff>99060</xdr:rowOff>
    </xdr:to>
    <xdr:pic>
      <xdr:nvPicPr>
        <xdr:cNvPr id="10" name="Graphic 9" descr="Coffee with solid fill">
          <a:extLst>
            <a:ext uri="{FF2B5EF4-FFF2-40B4-BE49-F238E27FC236}">
              <a16:creationId xmlns:a16="http://schemas.microsoft.com/office/drawing/2014/main" id="{E83181BC-2ECD-9BD0-5BF3-8EDC8777C20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6680" y="60960"/>
          <a:ext cx="792480" cy="769620"/>
        </a:xfrm>
        <a:prstGeom prst="rect">
          <a:avLst/>
        </a:prstGeom>
      </xdr:spPr>
    </xdr:pic>
    <xdr:clientData/>
  </xdr:twoCellAnchor>
  <xdr:twoCellAnchor editAs="oneCell">
    <xdr:from>
      <xdr:col>0</xdr:col>
      <xdr:colOff>22860</xdr:colOff>
      <xdr:row>5</xdr:row>
      <xdr:rowOff>83820</xdr:rowOff>
    </xdr:from>
    <xdr:to>
      <xdr:col>3</xdr:col>
      <xdr:colOff>114300</xdr:colOff>
      <xdr:row>16</xdr:row>
      <xdr:rowOff>53340</xdr:rowOff>
    </xdr:to>
    <mc:AlternateContent xmlns:mc="http://schemas.openxmlformats.org/markup-compatibility/2006">
      <mc:Choice xmlns:a14="http://schemas.microsoft.com/office/drawing/2010/main" Requires="a14">
        <xdr:graphicFrame macro="">
          <xdr:nvGraphicFramePr>
            <xdr:cNvPr id="2" name="Month 1">
              <a:extLst>
                <a:ext uri="{FF2B5EF4-FFF2-40B4-BE49-F238E27FC236}">
                  <a16:creationId xmlns:a16="http://schemas.microsoft.com/office/drawing/2014/main" id="{32D8E9D8-A66B-4D35-8ED5-042889168A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2860" y="952500"/>
              <a:ext cx="1920240" cy="1973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91440</xdr:colOff>
      <xdr:row>2</xdr:row>
      <xdr:rowOff>53340</xdr:rowOff>
    </xdr:from>
    <xdr:to>
      <xdr:col>6</xdr:col>
      <xdr:colOff>556260</xdr:colOff>
      <xdr:row>4</xdr:row>
      <xdr:rowOff>7620</xdr:rowOff>
    </xdr:to>
    <xdr:sp macro="" textlink="$F$35">
      <xdr:nvSpPr>
        <xdr:cNvPr id="3" name="TextBox 2">
          <a:extLst>
            <a:ext uri="{FF2B5EF4-FFF2-40B4-BE49-F238E27FC236}">
              <a16:creationId xmlns:a16="http://schemas.microsoft.com/office/drawing/2014/main" id="{BAF62CB9-4DDA-9DF9-60A5-4DBDEA9A4614}"/>
            </a:ext>
          </a:extLst>
        </xdr:cNvPr>
        <xdr:cNvSpPr txBox="1"/>
      </xdr:nvSpPr>
      <xdr:spPr>
        <a:xfrm>
          <a:off x="3139440" y="419100"/>
          <a:ext cx="1074420" cy="320040"/>
        </a:xfrm>
        <a:prstGeom prst="rect">
          <a:avLst/>
        </a:prstGeom>
        <a:solidFill>
          <a:srgbClr val="542A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80B509-5BFB-4F07-9918-40ECF241BC12}" type="TxLink">
            <a:rPr lang="en-US" sz="1800" b="1" i="0" u="none" strike="noStrike">
              <a:solidFill>
                <a:srgbClr val="FFC4A7"/>
              </a:solidFill>
              <a:latin typeface="Calibri"/>
              <a:ea typeface="Calibri"/>
              <a:cs typeface="Calibri"/>
            </a:rPr>
            <a:pPr/>
            <a:t>11936.63</a:t>
          </a:fld>
          <a:endParaRPr lang="en-IN" sz="1800" b="1">
            <a:solidFill>
              <a:srgbClr val="FFC4A7"/>
            </a:solidFill>
          </a:endParaRPr>
        </a:p>
      </xdr:txBody>
    </xdr:sp>
    <xdr:clientData/>
  </xdr:twoCellAnchor>
  <xdr:twoCellAnchor editAs="oneCell">
    <xdr:from>
      <xdr:col>0</xdr:col>
      <xdr:colOff>22860</xdr:colOff>
      <xdr:row>16</xdr:row>
      <xdr:rowOff>53340</xdr:rowOff>
    </xdr:from>
    <xdr:to>
      <xdr:col>3</xdr:col>
      <xdr:colOff>106680</xdr:colOff>
      <xdr:row>22</xdr:row>
      <xdr:rowOff>152400</xdr:rowOff>
    </xdr:to>
    <mc:AlternateContent xmlns:mc="http://schemas.openxmlformats.org/markup-compatibility/2006" xmlns:a14="http://schemas.microsoft.com/office/drawing/2010/main">
      <mc:Choice Requires="a14">
        <xdr:graphicFrame macro="">
          <xdr:nvGraphicFramePr>
            <xdr:cNvPr id="9" name="Store Location 1">
              <a:extLst>
                <a:ext uri="{FF2B5EF4-FFF2-40B4-BE49-F238E27FC236}">
                  <a16:creationId xmlns:a16="http://schemas.microsoft.com/office/drawing/2014/main" id="{FBCAE910-EBF4-49AC-BC03-4DE427ABE682}"/>
                </a:ext>
              </a:extLst>
            </xdr:cNvPr>
            <xdr:cNvGraphicFramePr/>
          </xdr:nvGraphicFramePr>
          <xdr:xfrm>
            <a:off x="0" y="0"/>
            <a:ext cx="0" cy="0"/>
          </xdr:xfrm>
          <a:graphic>
            <a:graphicData uri="http://schemas.microsoft.com/office/drawing/2010/slicer">
              <sle:slicer xmlns:sle="http://schemas.microsoft.com/office/drawing/2010/slicer" name="Store Location 1"/>
            </a:graphicData>
          </a:graphic>
        </xdr:graphicFrame>
      </mc:Choice>
      <mc:Fallback xmlns="">
        <xdr:sp macro="" textlink="">
          <xdr:nvSpPr>
            <xdr:cNvPr id="0" name=""/>
            <xdr:cNvSpPr>
              <a:spLocks noTextEdit="1"/>
            </xdr:cNvSpPr>
          </xdr:nvSpPr>
          <xdr:spPr>
            <a:xfrm>
              <a:off x="22860" y="2979420"/>
              <a:ext cx="191262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129540</xdr:colOff>
      <xdr:row>5</xdr:row>
      <xdr:rowOff>99060</xdr:rowOff>
    </xdr:from>
    <xdr:to>
      <xdr:col>9</xdr:col>
      <xdr:colOff>449580</xdr:colOff>
      <xdr:row>14</xdr:row>
      <xdr:rowOff>53340</xdr:rowOff>
    </xdr:to>
    <xdr:graphicFrame macro="">
      <xdr:nvGraphicFramePr>
        <xdr:cNvPr id="11" name="Chart 10">
          <a:extLst>
            <a:ext uri="{FF2B5EF4-FFF2-40B4-BE49-F238E27FC236}">
              <a16:creationId xmlns:a16="http://schemas.microsoft.com/office/drawing/2014/main" id="{969A53D4-F715-40A1-9305-CFD9B2A91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30480</xdr:colOff>
      <xdr:row>22</xdr:row>
      <xdr:rowOff>152401</xdr:rowOff>
    </xdr:from>
    <xdr:to>
      <xdr:col>3</xdr:col>
      <xdr:colOff>106680</xdr:colOff>
      <xdr:row>30</xdr:row>
      <xdr:rowOff>83820</xdr:rowOff>
    </xdr:to>
    <mc:AlternateContent xmlns:mc="http://schemas.openxmlformats.org/markup-compatibility/2006" xmlns:a14="http://schemas.microsoft.com/office/drawing/2010/main">
      <mc:Choice Requires="a14">
        <xdr:graphicFrame macro="">
          <xdr:nvGraphicFramePr>
            <xdr:cNvPr id="12" name="Product Name 1">
              <a:extLst>
                <a:ext uri="{FF2B5EF4-FFF2-40B4-BE49-F238E27FC236}">
                  <a16:creationId xmlns:a16="http://schemas.microsoft.com/office/drawing/2014/main" id="{02337C09-813B-4AC3-A723-BBD21C622E46}"/>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30480" y="4175761"/>
              <a:ext cx="1905000" cy="1394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129540</xdr:colOff>
      <xdr:row>14</xdr:row>
      <xdr:rowOff>68580</xdr:rowOff>
    </xdr:from>
    <xdr:to>
      <xdr:col>9</xdr:col>
      <xdr:colOff>457200</xdr:colOff>
      <xdr:row>30</xdr:row>
      <xdr:rowOff>106680</xdr:rowOff>
    </xdr:to>
    <xdr:graphicFrame macro="">
      <xdr:nvGraphicFramePr>
        <xdr:cNvPr id="13" name="Chart 12">
          <a:extLst>
            <a:ext uri="{FF2B5EF4-FFF2-40B4-BE49-F238E27FC236}">
              <a16:creationId xmlns:a16="http://schemas.microsoft.com/office/drawing/2014/main" id="{63D68A35-EEF8-4AFF-9F70-4FA7A0C31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472440</xdr:colOff>
      <xdr:row>5</xdr:row>
      <xdr:rowOff>106680</xdr:rowOff>
    </xdr:from>
    <xdr:to>
      <xdr:col>15</xdr:col>
      <xdr:colOff>297180</xdr:colOff>
      <xdr:row>16</xdr:row>
      <xdr:rowOff>144780</xdr:rowOff>
    </xdr:to>
    <xdr:graphicFrame macro="">
      <xdr:nvGraphicFramePr>
        <xdr:cNvPr id="14" name="Chart 13">
          <a:extLst>
            <a:ext uri="{FF2B5EF4-FFF2-40B4-BE49-F238E27FC236}">
              <a16:creationId xmlns:a16="http://schemas.microsoft.com/office/drawing/2014/main" id="{9BD43F74-2BC6-4D47-AD59-BE5DB9180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472440</xdr:colOff>
      <xdr:row>16</xdr:row>
      <xdr:rowOff>152400</xdr:rowOff>
    </xdr:from>
    <xdr:to>
      <xdr:col>16</xdr:col>
      <xdr:colOff>0</xdr:colOff>
      <xdr:row>30</xdr:row>
      <xdr:rowOff>106680</xdr:rowOff>
    </xdr:to>
    <xdr:graphicFrame macro="">
      <xdr:nvGraphicFramePr>
        <xdr:cNvPr id="15" name="Chart 14">
          <a:extLst>
            <a:ext uri="{FF2B5EF4-FFF2-40B4-BE49-F238E27FC236}">
              <a16:creationId xmlns:a16="http://schemas.microsoft.com/office/drawing/2014/main" id="{5ADE2822-F6EF-491E-B2DE-3F19EBED1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601980</xdr:colOff>
      <xdr:row>0</xdr:row>
      <xdr:rowOff>137160</xdr:rowOff>
    </xdr:from>
    <xdr:to>
      <xdr:col>8</xdr:col>
      <xdr:colOff>121920</xdr:colOff>
      <xdr:row>5</xdr:row>
      <xdr:rowOff>7620</xdr:rowOff>
    </xdr:to>
    <xdr:pic>
      <xdr:nvPicPr>
        <xdr:cNvPr id="17" name="Graphic 16" descr="Money with solid fill">
          <a:extLst>
            <a:ext uri="{FF2B5EF4-FFF2-40B4-BE49-F238E27FC236}">
              <a16:creationId xmlns:a16="http://schemas.microsoft.com/office/drawing/2014/main" id="{EA2B6F64-4D8D-BAF7-FF1E-11CD113F255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259580" y="137160"/>
          <a:ext cx="739140" cy="739140"/>
        </a:xfrm>
        <a:prstGeom prst="rect">
          <a:avLst/>
        </a:prstGeom>
      </xdr:spPr>
    </xdr:pic>
    <xdr:clientData/>
  </xdr:twoCellAnchor>
  <xdr:twoCellAnchor>
    <xdr:from>
      <xdr:col>8</xdr:col>
      <xdr:colOff>320040</xdr:colOff>
      <xdr:row>0</xdr:row>
      <xdr:rowOff>91440</xdr:rowOff>
    </xdr:from>
    <xdr:to>
      <xdr:col>10</xdr:col>
      <xdr:colOff>556260</xdr:colOff>
      <xdr:row>3</xdr:row>
      <xdr:rowOff>83820</xdr:rowOff>
    </xdr:to>
    <xdr:sp macro="" textlink="">
      <xdr:nvSpPr>
        <xdr:cNvPr id="18" name="TextBox 17">
          <a:extLst>
            <a:ext uri="{FF2B5EF4-FFF2-40B4-BE49-F238E27FC236}">
              <a16:creationId xmlns:a16="http://schemas.microsoft.com/office/drawing/2014/main" id="{42355377-227E-CC14-347D-1737AB08D2CC}"/>
            </a:ext>
          </a:extLst>
        </xdr:cNvPr>
        <xdr:cNvSpPr txBox="1"/>
      </xdr:nvSpPr>
      <xdr:spPr>
        <a:xfrm>
          <a:off x="5196840" y="91440"/>
          <a:ext cx="1455420" cy="541020"/>
        </a:xfrm>
        <a:prstGeom prst="rect">
          <a:avLst/>
        </a:prstGeom>
        <a:solidFill>
          <a:srgbClr val="542A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FFC4A7"/>
              </a:solidFill>
            </a:rPr>
            <a:t>Quantity</a:t>
          </a:r>
          <a:r>
            <a:rPr lang="en-IN" sz="2000" b="1">
              <a:solidFill>
                <a:srgbClr val="542A00"/>
              </a:solidFill>
            </a:rPr>
            <a:t> </a:t>
          </a:r>
        </a:p>
      </xdr:txBody>
    </xdr:sp>
    <xdr:clientData/>
  </xdr:twoCellAnchor>
  <xdr:twoCellAnchor>
    <xdr:from>
      <xdr:col>8</xdr:col>
      <xdr:colOff>441960</xdr:colOff>
      <xdr:row>2</xdr:row>
      <xdr:rowOff>53340</xdr:rowOff>
    </xdr:from>
    <xdr:to>
      <xdr:col>9</xdr:col>
      <xdr:colOff>556260</xdr:colOff>
      <xdr:row>4</xdr:row>
      <xdr:rowOff>45720</xdr:rowOff>
    </xdr:to>
    <xdr:sp macro="" textlink="$F$42">
      <xdr:nvSpPr>
        <xdr:cNvPr id="19" name="TextBox 18">
          <a:extLst>
            <a:ext uri="{FF2B5EF4-FFF2-40B4-BE49-F238E27FC236}">
              <a16:creationId xmlns:a16="http://schemas.microsoft.com/office/drawing/2014/main" id="{BFFDAA4D-F34D-5FBC-5BFE-25C2B18778D6}"/>
            </a:ext>
          </a:extLst>
        </xdr:cNvPr>
        <xdr:cNvSpPr txBox="1"/>
      </xdr:nvSpPr>
      <xdr:spPr>
        <a:xfrm>
          <a:off x="5318760" y="419100"/>
          <a:ext cx="723900" cy="358140"/>
        </a:xfrm>
        <a:prstGeom prst="rect">
          <a:avLst/>
        </a:prstGeom>
        <a:solidFill>
          <a:srgbClr val="542A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4CADE0-01B2-47F6-84B2-1EB96BC094C7}" type="TxLink">
            <a:rPr lang="en-US" sz="2000" b="1" i="0" u="none" strike="noStrike">
              <a:solidFill>
                <a:srgbClr val="FFC4A7"/>
              </a:solidFill>
              <a:latin typeface="Calibri"/>
              <a:ea typeface="Calibri"/>
              <a:cs typeface="Calibri"/>
            </a:rPr>
            <a:pPr/>
            <a:t>2994</a:t>
          </a:fld>
          <a:endParaRPr lang="en-IN" sz="2000" b="1">
            <a:solidFill>
              <a:srgbClr val="FFC4A7"/>
            </a:solidFill>
          </a:endParaRPr>
        </a:p>
      </xdr:txBody>
    </xdr:sp>
    <xdr:clientData/>
  </xdr:twoCellAnchor>
  <xdr:twoCellAnchor editAs="oneCell">
    <xdr:from>
      <xdr:col>5</xdr:col>
      <xdr:colOff>579120</xdr:colOff>
      <xdr:row>38</xdr:row>
      <xdr:rowOff>38100</xdr:rowOff>
    </xdr:from>
    <xdr:to>
      <xdr:col>7</xdr:col>
      <xdr:colOff>274320</xdr:colOff>
      <xdr:row>43</xdr:row>
      <xdr:rowOff>38100</xdr:rowOff>
    </xdr:to>
    <xdr:pic>
      <xdr:nvPicPr>
        <xdr:cNvPr id="21" name="Graphic 20" descr="Checklist with solid fill">
          <a:extLst>
            <a:ext uri="{FF2B5EF4-FFF2-40B4-BE49-F238E27FC236}">
              <a16:creationId xmlns:a16="http://schemas.microsoft.com/office/drawing/2014/main" id="{9B1E2824-13D6-37EA-3C76-A993C7F8D6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627120" y="6987540"/>
          <a:ext cx="914400" cy="914400"/>
        </a:xfrm>
        <a:prstGeom prst="rect">
          <a:avLst/>
        </a:prstGeom>
      </xdr:spPr>
    </xdr:pic>
    <xdr:clientData/>
  </xdr:twoCellAnchor>
  <xdr:twoCellAnchor editAs="oneCell">
    <xdr:from>
      <xdr:col>8</xdr:col>
      <xdr:colOff>274320</xdr:colOff>
      <xdr:row>39</xdr:row>
      <xdr:rowOff>83820</xdr:rowOff>
    </xdr:from>
    <xdr:to>
      <xdr:col>9</xdr:col>
      <xdr:colOff>579120</xdr:colOff>
      <xdr:row>44</xdr:row>
      <xdr:rowOff>83820</xdr:rowOff>
    </xdr:to>
    <xdr:pic>
      <xdr:nvPicPr>
        <xdr:cNvPr id="23" name="Graphic 22" descr="Bar graph with upward trend with solid fill">
          <a:extLst>
            <a:ext uri="{FF2B5EF4-FFF2-40B4-BE49-F238E27FC236}">
              <a16:creationId xmlns:a16="http://schemas.microsoft.com/office/drawing/2014/main" id="{5B90D516-FBE1-CAB4-7091-1430BE4787E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151120" y="7216140"/>
          <a:ext cx="914400" cy="914400"/>
        </a:xfrm>
        <a:prstGeom prst="rect">
          <a:avLst/>
        </a:prstGeom>
      </xdr:spPr>
    </xdr:pic>
    <xdr:clientData/>
  </xdr:twoCellAnchor>
  <xdr:twoCellAnchor editAs="oneCell">
    <xdr:from>
      <xdr:col>10</xdr:col>
      <xdr:colOff>167640</xdr:colOff>
      <xdr:row>1</xdr:row>
      <xdr:rowOff>15240</xdr:rowOff>
    </xdr:from>
    <xdr:to>
      <xdr:col>11</xdr:col>
      <xdr:colOff>373380</xdr:colOff>
      <xdr:row>5</xdr:row>
      <xdr:rowOff>30480</xdr:rowOff>
    </xdr:to>
    <xdr:pic>
      <xdr:nvPicPr>
        <xdr:cNvPr id="24" name="Graphic 23" descr="Bar graph with upward trend with solid fill">
          <a:extLst>
            <a:ext uri="{FF2B5EF4-FFF2-40B4-BE49-F238E27FC236}">
              <a16:creationId xmlns:a16="http://schemas.microsoft.com/office/drawing/2014/main" id="{2192A498-22EE-4BA9-8D02-6EF1D2FDC10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63640" y="198120"/>
          <a:ext cx="815340" cy="701040"/>
        </a:xfrm>
        <a:prstGeom prst="rect">
          <a:avLst/>
        </a:prstGeom>
      </xdr:spPr>
    </xdr:pic>
    <xdr:clientData/>
  </xdr:twoCellAnchor>
  <xdr:twoCellAnchor>
    <xdr:from>
      <xdr:col>11</xdr:col>
      <xdr:colOff>502920</xdr:colOff>
      <xdr:row>0</xdr:row>
      <xdr:rowOff>53340</xdr:rowOff>
    </xdr:from>
    <xdr:to>
      <xdr:col>15</xdr:col>
      <xdr:colOff>144780</xdr:colOff>
      <xdr:row>5</xdr:row>
      <xdr:rowOff>45720</xdr:rowOff>
    </xdr:to>
    <xdr:sp macro="" textlink="$I$37">
      <xdr:nvSpPr>
        <xdr:cNvPr id="6" name="Rectangle: Rounded Corners 5">
          <a:extLst>
            <a:ext uri="{FF2B5EF4-FFF2-40B4-BE49-F238E27FC236}">
              <a16:creationId xmlns:a16="http://schemas.microsoft.com/office/drawing/2014/main" id="{7596C4AA-10EE-C68E-872B-1E932C481735}"/>
            </a:ext>
          </a:extLst>
        </xdr:cNvPr>
        <xdr:cNvSpPr/>
      </xdr:nvSpPr>
      <xdr:spPr>
        <a:xfrm>
          <a:off x="7208520" y="53340"/>
          <a:ext cx="2080260" cy="861060"/>
        </a:xfrm>
        <a:prstGeom prst="roundRect">
          <a:avLst/>
        </a:prstGeom>
        <a:solidFill>
          <a:srgbClr val="542A00"/>
        </a:solidFill>
        <a:ln>
          <a:solidFill>
            <a:srgbClr val="542A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0641852-123D-43A3-A3B1-0A3AB5D53DF0}" type="TxLink">
            <a:rPr lang="en-US" sz="1100" b="0" i="0" u="none" strike="noStrike">
              <a:solidFill>
                <a:srgbClr val="000000"/>
              </a:solidFill>
              <a:latin typeface="Calibri"/>
              <a:ea typeface="Calibri"/>
              <a:cs typeface="Calibri"/>
            </a:rPr>
            <a:pPr algn="l"/>
            <a:t>4001.28</a:t>
          </a:fld>
          <a:endParaRPr lang="en-IN" sz="1100"/>
        </a:p>
      </xdr:txBody>
    </xdr:sp>
    <xdr:clientData/>
  </xdr:twoCellAnchor>
  <xdr:twoCellAnchor>
    <xdr:from>
      <xdr:col>11</xdr:col>
      <xdr:colOff>579120</xdr:colOff>
      <xdr:row>0</xdr:row>
      <xdr:rowOff>91440</xdr:rowOff>
    </xdr:from>
    <xdr:to>
      <xdr:col>13</xdr:col>
      <xdr:colOff>586740</xdr:colOff>
      <xdr:row>2</xdr:row>
      <xdr:rowOff>144780</xdr:rowOff>
    </xdr:to>
    <xdr:sp macro="" textlink="">
      <xdr:nvSpPr>
        <xdr:cNvPr id="16" name="TextBox 15">
          <a:extLst>
            <a:ext uri="{FF2B5EF4-FFF2-40B4-BE49-F238E27FC236}">
              <a16:creationId xmlns:a16="http://schemas.microsoft.com/office/drawing/2014/main" id="{F4303669-AC30-0FEC-13B7-B54FB4E8411D}"/>
            </a:ext>
          </a:extLst>
        </xdr:cNvPr>
        <xdr:cNvSpPr txBox="1"/>
      </xdr:nvSpPr>
      <xdr:spPr>
        <a:xfrm>
          <a:off x="7284720" y="91440"/>
          <a:ext cx="1226820" cy="419100"/>
        </a:xfrm>
        <a:prstGeom prst="rect">
          <a:avLst/>
        </a:prstGeom>
        <a:solidFill>
          <a:srgbClr val="542A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FFC4A7"/>
              </a:solidFill>
            </a:rPr>
            <a:t>Unit</a:t>
          </a:r>
          <a:r>
            <a:rPr lang="en-IN" sz="2000" b="1">
              <a:solidFill>
                <a:srgbClr val="542A00"/>
              </a:solidFill>
            </a:rPr>
            <a:t> </a:t>
          </a:r>
          <a:r>
            <a:rPr lang="en-IN" sz="2000" b="1">
              <a:solidFill>
                <a:srgbClr val="FFC4A7"/>
              </a:solidFill>
            </a:rPr>
            <a:t>Price</a:t>
          </a:r>
        </a:p>
      </xdr:txBody>
    </xdr:sp>
    <xdr:clientData/>
  </xdr:twoCellAnchor>
  <xdr:twoCellAnchor>
    <xdr:from>
      <xdr:col>12</xdr:col>
      <xdr:colOff>53340</xdr:colOff>
      <xdr:row>2</xdr:row>
      <xdr:rowOff>60960</xdr:rowOff>
    </xdr:from>
    <xdr:to>
      <xdr:col>13</xdr:col>
      <xdr:colOff>556260</xdr:colOff>
      <xdr:row>4</xdr:row>
      <xdr:rowOff>30480</xdr:rowOff>
    </xdr:to>
    <xdr:sp macro="" textlink="$H$37">
      <xdr:nvSpPr>
        <xdr:cNvPr id="20" name="TextBox 19">
          <a:extLst>
            <a:ext uri="{FF2B5EF4-FFF2-40B4-BE49-F238E27FC236}">
              <a16:creationId xmlns:a16="http://schemas.microsoft.com/office/drawing/2014/main" id="{A44DE97C-E49E-A0B6-96F8-077DEFC5439E}"/>
            </a:ext>
          </a:extLst>
        </xdr:cNvPr>
        <xdr:cNvSpPr txBox="1"/>
      </xdr:nvSpPr>
      <xdr:spPr>
        <a:xfrm>
          <a:off x="7368540" y="426720"/>
          <a:ext cx="1112520" cy="335280"/>
        </a:xfrm>
        <a:prstGeom prst="rect">
          <a:avLst/>
        </a:prstGeom>
        <a:solidFill>
          <a:srgbClr val="542A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DA8493-9F61-49E3-877A-77CCB7C414F6}" type="TxLink">
            <a:rPr lang="en-US" sz="2000" b="1" i="0" u="none" strike="noStrike">
              <a:solidFill>
                <a:srgbClr val="FFC4A7"/>
              </a:solidFill>
              <a:latin typeface="Calibri"/>
              <a:ea typeface="Calibri"/>
              <a:cs typeface="Calibri"/>
            </a:rPr>
            <a:pPr/>
            <a:t>4001.28</a:t>
          </a:fld>
          <a:endParaRPr lang="en-IN" sz="2000" b="1">
            <a:solidFill>
              <a:srgbClr val="FFC4A7"/>
            </a:solidFill>
          </a:endParaRPr>
        </a:p>
      </xdr:txBody>
    </xdr:sp>
    <xdr:clientData/>
  </xdr:twoCellAnchor>
  <xdr:twoCellAnchor>
    <xdr:from>
      <xdr:col>16</xdr:col>
      <xdr:colOff>7620</xdr:colOff>
      <xdr:row>22</xdr:row>
      <xdr:rowOff>160020</xdr:rowOff>
    </xdr:from>
    <xdr:to>
      <xdr:col>20</xdr:col>
      <xdr:colOff>60960</xdr:colOff>
      <xdr:row>30</xdr:row>
      <xdr:rowOff>114300</xdr:rowOff>
    </xdr:to>
    <xdr:graphicFrame macro="">
      <xdr:nvGraphicFramePr>
        <xdr:cNvPr id="26" name="Chart 25">
          <a:extLst>
            <a:ext uri="{FF2B5EF4-FFF2-40B4-BE49-F238E27FC236}">
              <a16:creationId xmlns:a16="http://schemas.microsoft.com/office/drawing/2014/main" id="{2F01834F-6958-4F21-9512-24FCF705A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213360</xdr:colOff>
      <xdr:row>0</xdr:row>
      <xdr:rowOff>68580</xdr:rowOff>
    </xdr:from>
    <xdr:to>
      <xdr:col>17</xdr:col>
      <xdr:colOff>807720</xdr:colOff>
      <xdr:row>5</xdr:row>
      <xdr:rowOff>60960</xdr:rowOff>
    </xdr:to>
    <xdr:sp macro="" textlink="">
      <xdr:nvSpPr>
        <xdr:cNvPr id="22" name="Rectangle: Rounded Corners 21">
          <a:extLst>
            <a:ext uri="{FF2B5EF4-FFF2-40B4-BE49-F238E27FC236}">
              <a16:creationId xmlns:a16="http://schemas.microsoft.com/office/drawing/2014/main" id="{0B7C8BF0-FF6B-3D13-5AB2-B64BABAF07CE}"/>
            </a:ext>
          </a:extLst>
        </xdr:cNvPr>
        <xdr:cNvSpPr/>
      </xdr:nvSpPr>
      <xdr:spPr>
        <a:xfrm>
          <a:off x="9357360" y="68580"/>
          <a:ext cx="2278380" cy="861060"/>
        </a:xfrm>
        <a:prstGeom prst="roundRect">
          <a:avLst/>
        </a:prstGeom>
        <a:solidFill>
          <a:srgbClr val="542A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868680</xdr:colOff>
      <xdr:row>0</xdr:row>
      <xdr:rowOff>60960</xdr:rowOff>
    </xdr:from>
    <xdr:to>
      <xdr:col>20</xdr:col>
      <xdr:colOff>251460</xdr:colOff>
      <xdr:row>5</xdr:row>
      <xdr:rowOff>68580</xdr:rowOff>
    </xdr:to>
    <xdr:sp macro="" textlink="">
      <xdr:nvSpPr>
        <xdr:cNvPr id="29" name="Rectangle: Rounded Corners 28">
          <a:extLst>
            <a:ext uri="{FF2B5EF4-FFF2-40B4-BE49-F238E27FC236}">
              <a16:creationId xmlns:a16="http://schemas.microsoft.com/office/drawing/2014/main" id="{E31581F4-73DD-4170-A571-B064CD71D936}"/>
            </a:ext>
          </a:extLst>
        </xdr:cNvPr>
        <xdr:cNvSpPr/>
      </xdr:nvSpPr>
      <xdr:spPr>
        <a:xfrm>
          <a:off x="11696700" y="60960"/>
          <a:ext cx="2606040" cy="876300"/>
        </a:xfrm>
        <a:prstGeom prst="roundRect">
          <a:avLst/>
        </a:prstGeom>
        <a:solidFill>
          <a:srgbClr val="542A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678180</xdr:colOff>
      <xdr:row>0</xdr:row>
      <xdr:rowOff>99060</xdr:rowOff>
    </xdr:from>
    <xdr:to>
      <xdr:col>17</xdr:col>
      <xdr:colOff>739140</xdr:colOff>
      <xdr:row>2</xdr:row>
      <xdr:rowOff>99060</xdr:rowOff>
    </xdr:to>
    <xdr:sp macro="" textlink="">
      <xdr:nvSpPr>
        <xdr:cNvPr id="30" name="TextBox 29">
          <a:extLst>
            <a:ext uri="{FF2B5EF4-FFF2-40B4-BE49-F238E27FC236}">
              <a16:creationId xmlns:a16="http://schemas.microsoft.com/office/drawing/2014/main" id="{E4F14695-FF48-5924-4D8C-F413D9529998}"/>
            </a:ext>
          </a:extLst>
        </xdr:cNvPr>
        <xdr:cNvSpPr txBox="1"/>
      </xdr:nvSpPr>
      <xdr:spPr>
        <a:xfrm>
          <a:off x="10096500" y="99060"/>
          <a:ext cx="1470660" cy="365760"/>
        </a:xfrm>
        <a:prstGeom prst="rect">
          <a:avLst/>
        </a:prstGeom>
        <a:solidFill>
          <a:srgbClr val="542A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FFC4A7"/>
              </a:solidFill>
            </a:rPr>
            <a:t>Store location</a:t>
          </a:r>
        </a:p>
      </xdr:txBody>
    </xdr:sp>
    <xdr:clientData/>
  </xdr:twoCellAnchor>
  <xdr:twoCellAnchor>
    <xdr:from>
      <xdr:col>16</xdr:col>
      <xdr:colOff>998220</xdr:colOff>
      <xdr:row>2</xdr:row>
      <xdr:rowOff>53340</xdr:rowOff>
    </xdr:from>
    <xdr:to>
      <xdr:col>17</xdr:col>
      <xdr:colOff>304800</xdr:colOff>
      <xdr:row>4</xdr:row>
      <xdr:rowOff>15240</xdr:rowOff>
    </xdr:to>
    <xdr:sp macro="" textlink="$C$35">
      <xdr:nvSpPr>
        <xdr:cNvPr id="31" name="TextBox 30">
          <a:extLst>
            <a:ext uri="{FF2B5EF4-FFF2-40B4-BE49-F238E27FC236}">
              <a16:creationId xmlns:a16="http://schemas.microsoft.com/office/drawing/2014/main" id="{F34354F9-06D8-F21D-B36B-88450FAA11D1}"/>
            </a:ext>
          </a:extLst>
        </xdr:cNvPr>
        <xdr:cNvSpPr txBox="1"/>
      </xdr:nvSpPr>
      <xdr:spPr>
        <a:xfrm>
          <a:off x="10416540" y="419100"/>
          <a:ext cx="716280" cy="327660"/>
        </a:xfrm>
        <a:prstGeom prst="rect">
          <a:avLst/>
        </a:prstGeom>
        <a:solidFill>
          <a:srgbClr val="542A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AC56D4-6250-42D5-83CF-BFC8468D4647}" type="TxLink">
            <a:rPr lang="en-US" sz="2000" b="1" i="0" u="none" strike="noStrike">
              <a:solidFill>
                <a:srgbClr val="FFC4A7"/>
              </a:solidFill>
              <a:latin typeface="Calibri"/>
              <a:ea typeface="Calibri"/>
              <a:cs typeface="Calibri"/>
            </a:rPr>
            <a:t>1000</a:t>
          </a:fld>
          <a:endParaRPr lang="en-IN" sz="2000" b="1">
            <a:solidFill>
              <a:srgbClr val="FFC4A7"/>
            </a:solidFill>
          </a:endParaRPr>
        </a:p>
      </xdr:txBody>
    </xdr:sp>
    <xdr:clientData/>
  </xdr:twoCellAnchor>
  <xdr:twoCellAnchor editAs="oneCell">
    <xdr:from>
      <xdr:col>11</xdr:col>
      <xdr:colOff>373380</xdr:colOff>
      <xdr:row>35</xdr:row>
      <xdr:rowOff>129540</xdr:rowOff>
    </xdr:from>
    <xdr:to>
      <xdr:col>13</xdr:col>
      <xdr:colOff>68580</xdr:colOff>
      <xdr:row>40</xdr:row>
      <xdr:rowOff>129540</xdr:rowOff>
    </xdr:to>
    <xdr:pic>
      <xdr:nvPicPr>
        <xdr:cNvPr id="35" name="Graphic 34" descr="Checkmark with solid fill">
          <a:extLst>
            <a:ext uri="{FF2B5EF4-FFF2-40B4-BE49-F238E27FC236}">
              <a16:creationId xmlns:a16="http://schemas.microsoft.com/office/drawing/2014/main" id="{49CB022A-2855-DE78-BF9B-BF3845EE939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078980" y="6477000"/>
          <a:ext cx="914400" cy="914400"/>
        </a:xfrm>
        <a:prstGeom prst="rect">
          <a:avLst/>
        </a:prstGeom>
      </xdr:spPr>
    </xdr:pic>
    <xdr:clientData/>
  </xdr:twoCellAnchor>
  <xdr:twoCellAnchor editAs="oneCell">
    <xdr:from>
      <xdr:col>16</xdr:col>
      <xdr:colOff>104280</xdr:colOff>
      <xdr:row>32</xdr:row>
      <xdr:rowOff>104280</xdr:rowOff>
    </xdr:from>
    <xdr:to>
      <xdr:col>16</xdr:col>
      <xdr:colOff>1018680</xdr:colOff>
      <xdr:row>37</xdr:row>
      <xdr:rowOff>104280</xdr:rowOff>
    </xdr:to>
    <xdr:pic>
      <xdr:nvPicPr>
        <xdr:cNvPr id="37" name="Graphic 36" descr="Dollar with solid fill">
          <a:extLst>
            <a:ext uri="{FF2B5EF4-FFF2-40B4-BE49-F238E27FC236}">
              <a16:creationId xmlns:a16="http://schemas.microsoft.com/office/drawing/2014/main" id="{1B53ADD1-7902-EBA0-33F5-31F36CD9C79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522600" y="5903100"/>
          <a:ext cx="914400" cy="914400"/>
        </a:xfrm>
        <a:prstGeom prst="rect">
          <a:avLst/>
        </a:prstGeom>
      </xdr:spPr>
    </xdr:pic>
    <xdr:clientData/>
  </xdr:twoCellAnchor>
  <xdr:twoCellAnchor editAs="oneCell">
    <xdr:from>
      <xdr:col>13</xdr:col>
      <xdr:colOff>261900</xdr:colOff>
      <xdr:row>38</xdr:row>
      <xdr:rowOff>162840</xdr:rowOff>
    </xdr:from>
    <xdr:to>
      <xdr:col>14</xdr:col>
      <xdr:colOff>566700</xdr:colOff>
      <xdr:row>43</xdr:row>
      <xdr:rowOff>162840</xdr:rowOff>
    </xdr:to>
    <xdr:pic>
      <xdr:nvPicPr>
        <xdr:cNvPr id="39" name="Graphic 38" descr="List with solid fill">
          <a:extLst>
            <a:ext uri="{FF2B5EF4-FFF2-40B4-BE49-F238E27FC236}">
              <a16:creationId xmlns:a16="http://schemas.microsoft.com/office/drawing/2014/main" id="{926CA5D4-9B6D-3E03-930F-418CD494463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8186700" y="7058940"/>
          <a:ext cx="914400" cy="914400"/>
        </a:xfrm>
        <a:prstGeom prst="rect">
          <a:avLst/>
        </a:prstGeom>
      </xdr:spPr>
    </xdr:pic>
    <xdr:clientData/>
  </xdr:twoCellAnchor>
  <xdr:twoCellAnchor editAs="oneCell">
    <xdr:from>
      <xdr:col>16</xdr:col>
      <xdr:colOff>68580</xdr:colOff>
      <xdr:row>1</xdr:row>
      <xdr:rowOff>7620</xdr:rowOff>
    </xdr:from>
    <xdr:to>
      <xdr:col>16</xdr:col>
      <xdr:colOff>731520</xdr:colOff>
      <xdr:row>4</xdr:row>
      <xdr:rowOff>121920</xdr:rowOff>
    </xdr:to>
    <xdr:pic>
      <xdr:nvPicPr>
        <xdr:cNvPr id="40" name="Graphic 39" descr="Checkmark with solid fill">
          <a:extLst>
            <a:ext uri="{FF2B5EF4-FFF2-40B4-BE49-F238E27FC236}">
              <a16:creationId xmlns:a16="http://schemas.microsoft.com/office/drawing/2014/main" id="{05298804-6AB6-45A9-B508-EACFBD7385C5}"/>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9486900" y="190500"/>
          <a:ext cx="662940" cy="662940"/>
        </a:xfrm>
        <a:prstGeom prst="rect">
          <a:avLst/>
        </a:prstGeom>
      </xdr:spPr>
    </xdr:pic>
    <xdr:clientData/>
  </xdr:twoCellAnchor>
  <xdr:twoCellAnchor>
    <xdr:from>
      <xdr:col>18</xdr:col>
      <xdr:colOff>15240</xdr:colOff>
      <xdr:row>0</xdr:row>
      <xdr:rowOff>106680</xdr:rowOff>
    </xdr:from>
    <xdr:to>
      <xdr:col>19</xdr:col>
      <xdr:colOff>655320</xdr:colOff>
      <xdr:row>2</xdr:row>
      <xdr:rowOff>152400</xdr:rowOff>
    </xdr:to>
    <xdr:sp macro="" textlink="">
      <xdr:nvSpPr>
        <xdr:cNvPr id="41" name="TextBox 40">
          <a:extLst>
            <a:ext uri="{FF2B5EF4-FFF2-40B4-BE49-F238E27FC236}">
              <a16:creationId xmlns:a16="http://schemas.microsoft.com/office/drawing/2014/main" id="{A25BA9D9-EC9C-91E5-8CCB-220A1DEC5E9F}"/>
            </a:ext>
          </a:extLst>
        </xdr:cNvPr>
        <xdr:cNvSpPr txBox="1"/>
      </xdr:nvSpPr>
      <xdr:spPr>
        <a:xfrm>
          <a:off x="11818620" y="106680"/>
          <a:ext cx="1737360" cy="411480"/>
        </a:xfrm>
        <a:prstGeom prst="rect">
          <a:avLst/>
        </a:prstGeom>
        <a:solidFill>
          <a:srgbClr val="542A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 </a:t>
          </a:r>
          <a:r>
            <a:rPr lang="en-IN" sz="2000" b="1" i="0" u="none" strike="noStrike">
              <a:solidFill>
                <a:srgbClr val="FFC4A7"/>
              </a:solidFill>
              <a:effectLst/>
              <a:latin typeface="+mn-lt"/>
              <a:ea typeface="+mn-ea"/>
              <a:cs typeface="+mn-cs"/>
            </a:rPr>
            <a:t>Transaction ID</a:t>
          </a:r>
          <a:r>
            <a:rPr lang="en-IN" sz="2000" b="1">
              <a:solidFill>
                <a:srgbClr val="FFC4A7"/>
              </a:solidFill>
              <a:effectLst/>
            </a:rPr>
            <a:t> </a:t>
          </a:r>
          <a:endParaRPr lang="en-IN" sz="1100" b="1">
            <a:solidFill>
              <a:srgbClr val="FFC4A7"/>
            </a:solidFill>
          </a:endParaRPr>
        </a:p>
      </xdr:txBody>
    </xdr:sp>
    <xdr:clientData/>
  </xdr:twoCellAnchor>
  <xdr:twoCellAnchor>
    <xdr:from>
      <xdr:col>18</xdr:col>
      <xdr:colOff>121920</xdr:colOff>
      <xdr:row>2</xdr:row>
      <xdr:rowOff>53340</xdr:rowOff>
    </xdr:from>
    <xdr:to>
      <xdr:col>19</xdr:col>
      <xdr:colOff>388620</xdr:colOff>
      <xdr:row>4</xdr:row>
      <xdr:rowOff>60960</xdr:rowOff>
    </xdr:to>
    <xdr:sp macro="" textlink="$N$34">
      <xdr:nvSpPr>
        <xdr:cNvPr id="42" name="TextBox 41">
          <a:extLst>
            <a:ext uri="{FF2B5EF4-FFF2-40B4-BE49-F238E27FC236}">
              <a16:creationId xmlns:a16="http://schemas.microsoft.com/office/drawing/2014/main" id="{7F762890-736F-E975-AE90-B70C590E02D0}"/>
            </a:ext>
          </a:extLst>
        </xdr:cNvPr>
        <xdr:cNvSpPr txBox="1"/>
      </xdr:nvSpPr>
      <xdr:spPr>
        <a:xfrm>
          <a:off x="11925300" y="419100"/>
          <a:ext cx="1363980" cy="373380"/>
        </a:xfrm>
        <a:prstGeom prst="rect">
          <a:avLst/>
        </a:prstGeom>
        <a:solidFill>
          <a:srgbClr val="542A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3BB336-21FC-45A9-8FB7-E37F476EA143}" type="TxLink">
            <a:rPr lang="en-US" sz="2000" b="1" i="0" u="none" strike="noStrike">
              <a:solidFill>
                <a:srgbClr val="FFC4A7"/>
              </a:solidFill>
              <a:latin typeface="Calibri"/>
              <a:ea typeface="Calibri"/>
              <a:cs typeface="Calibri"/>
            </a:rPr>
            <a:t>1500500</a:t>
          </a:fld>
          <a:endParaRPr lang="en-IN" sz="2000" b="1">
            <a:solidFill>
              <a:srgbClr val="FFC4A7"/>
            </a:solidFill>
          </a:endParaRPr>
        </a:p>
      </xdr:txBody>
    </xdr:sp>
    <xdr:clientData/>
  </xdr:twoCellAnchor>
  <xdr:twoCellAnchor editAs="oneCell">
    <xdr:from>
      <xdr:col>19</xdr:col>
      <xdr:colOff>487680</xdr:colOff>
      <xdr:row>0</xdr:row>
      <xdr:rowOff>160020</xdr:rowOff>
    </xdr:from>
    <xdr:to>
      <xdr:col>20</xdr:col>
      <xdr:colOff>259080</xdr:colOff>
      <xdr:row>5</xdr:row>
      <xdr:rowOff>22860</xdr:rowOff>
    </xdr:to>
    <xdr:pic>
      <xdr:nvPicPr>
        <xdr:cNvPr id="43" name="Graphic 42" descr="List with solid fill">
          <a:extLst>
            <a:ext uri="{FF2B5EF4-FFF2-40B4-BE49-F238E27FC236}">
              <a16:creationId xmlns:a16="http://schemas.microsoft.com/office/drawing/2014/main" id="{A5610D57-C65E-4E23-9401-79AE3E80E2A7}"/>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3388340" y="160020"/>
          <a:ext cx="845820" cy="731520"/>
        </a:xfrm>
        <a:prstGeom prst="rect">
          <a:avLst/>
        </a:prstGeom>
      </xdr:spPr>
    </xdr:pic>
    <xdr:clientData/>
  </xdr:twoCellAnchor>
  <xdr:twoCellAnchor editAs="oneCell">
    <xdr:from>
      <xdr:col>13</xdr:col>
      <xdr:colOff>373380</xdr:colOff>
      <xdr:row>0</xdr:row>
      <xdr:rowOff>114300</xdr:rowOff>
    </xdr:from>
    <xdr:to>
      <xdr:col>15</xdr:col>
      <xdr:colOff>7620</xdr:colOff>
      <xdr:row>5</xdr:row>
      <xdr:rowOff>0</xdr:rowOff>
    </xdr:to>
    <xdr:pic>
      <xdr:nvPicPr>
        <xdr:cNvPr id="47" name="Graphic 46" descr="Dollar with solid fill">
          <a:extLst>
            <a:ext uri="{FF2B5EF4-FFF2-40B4-BE49-F238E27FC236}">
              <a16:creationId xmlns:a16="http://schemas.microsoft.com/office/drawing/2014/main" id="{66B44353-74CF-4D43-911D-8BB73FD0DF77}"/>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8298180" y="114300"/>
          <a:ext cx="853440" cy="7543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ini S" refreshedDate="46188.301214467596" createdVersion="8" refreshedVersion="8" minRefreshableVersion="3" recordCount="1000" xr:uid="{3C2E1B8A-F5FB-45A1-99C4-701AF3E92367}">
  <cacheSource type="worksheet">
    <worksheetSource ref="A1:K1001" sheet="DATA SET"/>
  </cacheSource>
  <cacheFields count="11">
    <cacheField name="Transaction ID" numFmtId="0">
      <sharedItems containsSemiMixedTypes="0" containsString="0" containsNumber="1" containsInteger="1" minValue="1001" maxValue="2000"/>
    </cacheField>
    <cacheField name="Date" numFmtId="166">
      <sharedItems count="180">
        <s v="2024-01-17"/>
        <s v="2024-01-15"/>
        <s v="2024-03-29"/>
        <s v="2024-06-13"/>
        <s v="2024-04-02"/>
        <s v="2024-02-08"/>
        <s v="2024-02-22"/>
        <s v="2024-05-31"/>
        <s v="2024-04-06"/>
        <s v="2024-04-03"/>
        <s v="2024-04-01"/>
        <s v="2024-02-28"/>
        <s v="2024-06-18"/>
        <s v="2024-06-11"/>
        <s v="2024-05-28"/>
        <s v="2024-02-06"/>
        <s v="2024-01-26"/>
        <s v="2024-01-23"/>
        <s v="2024-06-28"/>
        <s v="2024-04-28"/>
        <s v="2024-02-01"/>
        <s v="2024-05-06"/>
        <s v="2024-03-10"/>
        <s v="2024-03-20"/>
        <s v="2024-02-13"/>
        <s v="2024-03-09"/>
        <s v="2024-01-09"/>
        <s v="2024-03-17"/>
        <s v="2024-04-12"/>
        <s v="2024-05-25"/>
        <s v="2024-06-19"/>
        <s v="2024-02-27"/>
        <s v="2024-03-19"/>
        <s v="2024-04-07"/>
        <s v="2024-03-16"/>
        <s v="2024-05-08"/>
        <s v="2024-03-04"/>
        <s v="2024-03-01"/>
        <s v="2024-02-09"/>
        <s v="2024-06-24"/>
        <s v="2024-06-22"/>
        <s v="2024-05-22"/>
        <s v="2024-03-27"/>
        <s v="2024-01-04"/>
        <s v="2024-03-11"/>
        <s v="2024-03-12"/>
        <s v="2024-03-03"/>
        <s v="2024-06-29"/>
        <s v="2024-04-22"/>
        <s v="2024-05-29"/>
        <s v="2024-02-04"/>
        <s v="2024-03-14"/>
        <s v="2024-01-25"/>
        <s v="2024-01-03"/>
        <s v="2024-03-06"/>
        <s v="2024-01-05"/>
        <s v="2024-06-17"/>
        <s v="2024-06-20"/>
        <s v="2024-04-14"/>
        <s v="2024-05-05"/>
        <s v="2024-05-13"/>
        <s v="2024-01-21"/>
        <s v="2024-05-11"/>
        <s v="2024-03-30"/>
        <s v="2024-03-18"/>
        <s v="2024-05-02"/>
        <s v="2024-01-30"/>
        <s v="2024-04-24"/>
        <s v="2024-01-19"/>
        <s v="2024-04-13"/>
        <s v="2024-06-16"/>
        <s v="2024-01-07"/>
        <s v="2024-05-01"/>
        <s v="2024-02-10"/>
        <s v="2024-04-27"/>
        <s v="2024-06-14"/>
        <s v="2024-02-15"/>
        <s v="2024-04-18"/>
        <s v="2024-02-23"/>
        <s v="2024-01-08"/>
        <s v="2024-04-15"/>
        <s v="2024-04-29"/>
        <s v="2024-01-18"/>
        <s v="2024-06-05"/>
        <s v="2024-05-26"/>
        <s v="2024-02-17"/>
        <s v="2024-06-01"/>
        <s v="2024-02-11"/>
        <s v="2024-04-04"/>
        <s v="2024-05-20"/>
        <s v="2024-05-14"/>
        <s v="2024-06-25"/>
        <s v="2024-05-12"/>
        <s v="2024-02-19"/>
        <s v="2024-01-28"/>
        <s v="2024-06-07"/>
        <s v="2024-04-17"/>
        <s v="2024-06-04"/>
        <s v="2024-03-02"/>
        <s v="2024-06-08"/>
        <s v="2024-03-24"/>
        <s v="2024-06-06"/>
        <s v="2024-06-23"/>
        <s v="2024-02-05"/>
        <s v="2024-04-05"/>
        <s v="2024-02-03"/>
        <s v="2024-06-10"/>
        <s v="2024-05-16"/>
        <s v="2024-01-22"/>
        <s v="2024-02-21"/>
        <s v="2024-01-14"/>
        <s v="2024-06-12"/>
        <s v="2024-03-13"/>
        <s v="2024-05-23"/>
        <s v="2024-02-16"/>
        <s v="2024-05-21"/>
        <s v="2024-02-25"/>
        <s v="2024-05-07"/>
        <s v="2024-03-05"/>
        <s v="2024-06-03"/>
        <s v="2024-01-06"/>
        <s v="2024-04-26"/>
        <s v="2024-06-02"/>
        <s v="2024-03-28"/>
        <s v="2024-04-10"/>
        <s v="2024-03-26"/>
        <s v="2024-05-04"/>
        <s v="2024-01-10"/>
        <s v="2024-05-18"/>
        <s v="2024-02-02"/>
        <s v="2024-04-30"/>
        <s v="2024-04-16"/>
        <s v="2024-03-21"/>
        <s v="2024-04-20"/>
        <s v="2024-04-19"/>
        <s v="2024-01-01"/>
        <s v="2024-02-29"/>
        <s v="2024-02-12"/>
        <s v="2024-05-09"/>
        <s v="2024-02-07"/>
        <s v="2024-04-08"/>
        <s v="2024-04-09"/>
        <s v="2024-05-30"/>
        <s v="2024-02-14"/>
        <s v="2024-01-20"/>
        <s v="2024-01-29"/>
        <s v="2024-02-18"/>
        <s v="2024-01-27"/>
        <s v="2024-04-23"/>
        <s v="2024-03-22"/>
        <s v="2024-01-02"/>
        <s v="2024-05-15"/>
        <s v="2024-02-24"/>
        <s v="2024-06-09"/>
        <s v="2024-06-21"/>
        <s v="2024-05-17"/>
        <s v="2024-01-12"/>
        <s v="2024-01-24"/>
        <s v="2024-03-25"/>
        <s v="2024-06-26"/>
        <s v="2024-03-08"/>
        <s v="2024-05-24"/>
        <s v="2024-03-23"/>
        <s v="2024-02-20"/>
        <s v="2024-01-16"/>
        <s v="2024-06-27"/>
        <s v="2024-03-07"/>
        <s v="2024-01-31"/>
        <s v="2024-04-21"/>
        <s v="2024-01-11"/>
        <s v="2024-05-10"/>
        <s v="2024-05-27"/>
        <s v="2024-02-26"/>
        <s v="2024-06-15"/>
        <s v="2024-04-11"/>
        <s v="2024-03-31"/>
        <s v="2024-01-13"/>
        <s v="2024-05-19"/>
        <s v="2024-03-15"/>
        <s v="2024-05-03"/>
      </sharedItems>
    </cacheField>
    <cacheField name="Time" numFmtId="0">
      <sharedItems containsDate="1" containsMixedTypes="1" minDate="1899-12-30T14:00:00" maxDate="1899-12-30T14:00:00" count="563">
        <s v="09:53"/>
        <s v="16:56"/>
        <s v="14:40"/>
        <d v="1899-12-30T14:00:00"/>
        <s v="18:09"/>
        <s v="13:35"/>
        <s v="11:00"/>
        <s v="16:34"/>
        <s v="15:54"/>
        <s v="17:40"/>
        <s v="07:35"/>
        <s v="09:40"/>
        <s v="09:45"/>
        <s v="10:47"/>
        <s v="17:37"/>
        <s v="07:02"/>
        <s v="12:21"/>
        <s v="14:45"/>
        <s v="15:58"/>
        <s v="07:12"/>
        <s v="17:38"/>
        <s v="18:33"/>
        <s v="12:10"/>
        <s v="07:14"/>
        <s v="09:02"/>
        <s v="11:21"/>
        <s v="10:15"/>
        <s v="08:47"/>
        <s v="11:35"/>
        <s v="14:34"/>
        <s v="14:28"/>
        <s v="17:09"/>
        <s v="10:01"/>
        <s v="15:51"/>
        <s v="09:39"/>
        <s v="12:11"/>
        <s v="15:35"/>
        <s v="11:41"/>
        <s v="20:00"/>
        <s v="12:26"/>
        <s v="13:44"/>
        <s v="08:32"/>
        <s v="13:14"/>
        <s v="07:24"/>
        <s v="15:02"/>
        <s v="14:36"/>
        <s v="13:20"/>
        <s v="11:13"/>
        <s v="17:13"/>
        <s v="08:57"/>
        <s v="15:55"/>
        <s v="17:56"/>
        <s v="14:10"/>
        <s v="15:14"/>
        <s v="13:22"/>
        <s v="08:44"/>
        <s v="10:56"/>
        <s v="16:53"/>
        <s v="08:41"/>
        <s v="15:15"/>
        <s v="19:41"/>
        <s v="14:25"/>
        <s v="11:06"/>
        <s v="10:14"/>
        <s v="13:07"/>
        <s v="08:45"/>
        <s v="15:05"/>
        <s v="09:47"/>
        <s v="16:52"/>
        <s v="07:16"/>
        <s v="14:58"/>
        <s v="11:26"/>
        <s v="18:47"/>
        <s v="16:08"/>
        <s v="08:13"/>
        <s v="13:00"/>
        <s v="15:37"/>
        <s v="12:04"/>
        <s v="09:54"/>
        <s v="14:46"/>
        <s v="10:12"/>
        <s v="19:17"/>
        <s v="09:07"/>
        <s v="15:10"/>
        <s v="14:43"/>
        <s v="14:13"/>
        <s v="12:41"/>
        <s v="14:03"/>
        <s v="19:14"/>
        <s v="16:17"/>
        <s v="12:32"/>
        <s v="18:42"/>
        <s v="10:23"/>
        <s v="12:29"/>
        <s v="14:49"/>
        <s v="13:16"/>
        <s v="18:51"/>
        <s v="13:49"/>
        <s v="11:04"/>
        <s v="14:06"/>
        <s v="09:46"/>
        <s v="13:58"/>
        <s v="16:51"/>
        <s v="08:56"/>
        <s v="15:06"/>
        <s v="07:05"/>
        <s v="12:54"/>
        <s v="19:21"/>
        <s v="09:04"/>
        <s v="14:39"/>
        <s v="12:25"/>
        <s v="18:18"/>
        <s v="09:14"/>
        <s v="12:09"/>
        <s v="12:19"/>
        <s v="07:10"/>
        <s v="14:31"/>
        <s v="18:41"/>
        <s v="08:00"/>
        <s v="09:22"/>
        <s v="19:13"/>
        <s v="12:30"/>
        <s v="10:03"/>
        <s v="08:36"/>
        <s v="12:31"/>
        <s v="07:28"/>
        <s v="11:52"/>
        <s v="14:51"/>
        <s v="11:55"/>
        <s v="07:23"/>
        <s v="13:40"/>
        <s v="08:58"/>
        <s v="11:59"/>
        <s v="12:59"/>
        <s v="19:50"/>
        <s v="14:18"/>
        <s v="11:29"/>
        <s v="07:56"/>
        <s v="17:42"/>
        <s v="08:11"/>
        <s v="10:24"/>
        <s v="08:51"/>
        <s v="10:39"/>
        <s v="11:56"/>
        <s v="08:39"/>
        <s v="18:07"/>
        <s v="09:26"/>
        <s v="08:55"/>
        <s v="09:13"/>
        <s v="12:44"/>
        <s v="19:44"/>
        <s v="08:29"/>
        <s v="12:43"/>
        <s v="10:21"/>
        <s v="19:18"/>
        <s v="07:33"/>
        <s v="19:27"/>
        <s v="19:09"/>
        <s v="11:37"/>
        <s v="07:43"/>
        <s v="18:44"/>
        <s v="17:26"/>
        <s v="19:00"/>
        <s v="17:23"/>
        <s v="11:15"/>
        <s v="11:24"/>
        <s v="14:26"/>
        <s v="17:36"/>
        <s v="19:40"/>
        <s v="15:48"/>
        <s v="07:08"/>
        <s v="19:42"/>
        <s v="14:15"/>
        <s v="16:11"/>
        <s v="13:47"/>
        <s v="08:33"/>
        <s v="16:38"/>
        <s v="12:51"/>
        <s v="14:27"/>
        <s v="12:05"/>
        <s v="07:30"/>
        <s v="13:56"/>
        <s v="13:55"/>
        <s v="16:10"/>
        <s v="10:41"/>
        <s v="10:22"/>
        <s v="18:32"/>
        <s v="19:31"/>
        <s v="08:40"/>
        <s v="18:38"/>
        <s v="09:00"/>
        <s v="11:58"/>
        <s v="15:33"/>
        <s v="08:59"/>
        <s v="14:14"/>
        <s v="15:30"/>
        <s v="19:15"/>
        <s v="07:21"/>
        <s v="19:24"/>
        <s v="14:19"/>
        <s v="19:07"/>
        <s v="11:18"/>
        <s v="18:08"/>
        <s v="08:50"/>
        <s v="14:32"/>
        <s v="16:55"/>
        <s v="19:26"/>
        <s v="18:01"/>
        <s v="12:42"/>
        <s v="13:38"/>
        <s v="09:03"/>
        <s v="08:22"/>
        <s v="07:57"/>
        <s v="09:16"/>
        <s v="11:01"/>
        <s v="18:06"/>
        <s v="17:45"/>
        <s v="10:11"/>
        <s v="17:15"/>
        <s v="18:48"/>
        <s v="15:18"/>
        <s v="07:27"/>
        <s v="11:10"/>
        <s v="17:29"/>
        <s v="11:23"/>
        <s v="09:06"/>
        <s v="18:19"/>
        <s v="13:30"/>
        <s v="15:13"/>
        <s v="07:58"/>
        <s v="19:08"/>
        <s v="15:46"/>
        <s v="08:20"/>
        <s v="09:49"/>
        <s v="13:06"/>
        <s v="07:13"/>
        <s v="09:10"/>
        <s v="18:03"/>
        <s v="18:27"/>
        <s v="08:07"/>
        <s v="12:36"/>
        <s v="10:16"/>
        <s v="09:31"/>
        <s v="11:39"/>
        <s v="11:44"/>
        <s v="15:04"/>
        <s v="13:02"/>
        <s v="14:55"/>
        <s v="13:45"/>
        <s v="19:16"/>
        <s v="16:28"/>
        <s v="14:41"/>
        <s v="07:42"/>
        <s v="17:31"/>
        <s v="10:13"/>
        <s v="19:57"/>
        <s v="17:14"/>
        <s v="16:02"/>
        <s v="09:24"/>
        <s v="10:37"/>
        <s v="11:49"/>
        <s v="15:53"/>
        <s v="13:09"/>
        <s v="12:53"/>
        <s v="10:34"/>
        <s v="12:27"/>
        <s v="13:41"/>
        <s v="10:43"/>
        <s v="14:52"/>
        <s v="12:07"/>
        <s v="12:03"/>
        <s v="14:53"/>
        <s v="15:40"/>
        <s v="18:15"/>
        <s v="13:31"/>
        <s v="10:53"/>
        <s v="18:04"/>
        <s v="12:16"/>
        <s v="15:49"/>
        <s v="10:18"/>
        <s v="11:08"/>
        <s v="13:46"/>
        <s v="17:16"/>
        <s v="11:32"/>
        <s v="18:39"/>
        <s v="11:07"/>
        <s v="16:18"/>
        <s v="17:47"/>
        <s v="09:11"/>
        <s v="19:19"/>
        <s v="12:57"/>
        <s v="07:55"/>
        <s v="15:17"/>
        <s v="12:45"/>
        <s v="07:39"/>
        <s v="15:27"/>
        <s v="11:47"/>
        <s v="13:43"/>
        <s v="17:53"/>
        <s v="08:38"/>
        <s v="16:44"/>
        <s v="07:53"/>
        <s v="13:21"/>
        <s v="10:04"/>
        <s v="16:00"/>
        <s v="07:06"/>
        <s v="07:29"/>
        <s v="16:37"/>
        <s v="13:26"/>
        <s v="10:06"/>
        <s v="07:52"/>
        <s v="14:48"/>
        <s v="07:45"/>
        <s v="14:59"/>
        <s v="17:49"/>
        <s v="14:44"/>
        <s v="09:15"/>
        <s v="16:41"/>
        <s v="08:02"/>
        <s v="08:54"/>
        <s v="08:01"/>
        <s v="13:50"/>
        <s v="19:49"/>
        <s v="10:49"/>
        <s v="18:24"/>
        <s v="17:55"/>
        <s v="19:23"/>
        <s v="13:48"/>
        <s v="17:02"/>
        <s v="17:22"/>
        <s v="16:43"/>
        <s v="16:50"/>
        <s v="07:26"/>
        <s v="10:09"/>
        <s v="09:43"/>
        <s v="19:35"/>
        <s v="10:00"/>
        <s v="16:47"/>
        <s v="18:00"/>
        <s v="09:37"/>
        <s v="07:07"/>
        <s v="16:33"/>
        <s v="08:49"/>
        <s v="19:22"/>
        <s v="16:22"/>
        <s v="18:13"/>
        <s v="15:56"/>
        <s v="17:32"/>
        <s v="10:08"/>
        <s v="15:52"/>
        <s v="07:19"/>
        <s v="10:42"/>
        <s v="17:27"/>
        <s v="11:12"/>
        <s v="17:52"/>
        <s v="19:11"/>
        <s v="11:43"/>
        <s v="08:04"/>
        <s v="14:11"/>
        <s v="11:48"/>
        <s v="16:59"/>
        <s v="19:20"/>
        <s v="09:20"/>
        <s v="14:24"/>
        <s v="19:51"/>
        <s v="18:35"/>
        <s v="10:32"/>
        <s v="14:38"/>
        <s v="09:57"/>
        <s v="19:48"/>
        <s v="18:29"/>
        <s v="09:23"/>
        <s v="09:50"/>
        <s v="18:12"/>
        <s v="12:58"/>
        <s v="09:35"/>
        <s v="17:41"/>
        <s v="09:12"/>
        <s v="10:27"/>
        <s v="15:45"/>
        <s v="16:12"/>
        <s v="14:29"/>
        <s v="16:05"/>
        <s v="11:22"/>
        <s v="10:50"/>
        <s v="15:32"/>
        <s v="16:16"/>
        <s v="16:24"/>
        <s v="19:30"/>
        <s v="17:54"/>
        <s v="17:20"/>
        <s v="18:30"/>
        <s v="12:48"/>
        <s v="14:17"/>
        <s v="12:24"/>
        <s v="13:12"/>
        <s v="08:52"/>
        <s v="17:34"/>
        <s v="19:04"/>
        <s v="13:10"/>
        <s v="13:03"/>
        <s v="09:18"/>
        <s v="11:09"/>
        <s v="16:04"/>
        <s v="09:36"/>
        <s v="18:53"/>
        <s v="14:21"/>
        <s v="08:24"/>
        <s v="16:13"/>
        <s v="13:59"/>
        <s v="09:30"/>
        <s v="15:28"/>
        <s v="10:05"/>
        <s v="18:34"/>
        <s v="07:34"/>
        <s v="16:27"/>
        <s v="19:52"/>
        <s v="13:25"/>
        <s v="07:00"/>
        <s v="11:33"/>
        <s v="08:12"/>
        <s v="14:07"/>
        <s v="07:15"/>
        <s v="17:48"/>
        <s v="17:50"/>
        <s v="08:03"/>
        <s v="11:34"/>
        <s v="09:27"/>
        <s v="09:01"/>
        <s v="07:59"/>
        <s v="13:39"/>
        <s v="11:31"/>
        <s v="19:55"/>
        <s v="17:18"/>
        <s v="15:12"/>
        <s v="12:20"/>
        <s v="08:48"/>
        <s v="08:23"/>
        <s v="15:59"/>
        <s v="15:03"/>
        <s v="16:32"/>
        <s v="18:43"/>
        <s v="15:47"/>
        <s v="12:35"/>
        <s v="12:56"/>
        <s v="13:17"/>
        <s v="18:28"/>
        <s v="10:58"/>
        <s v="08:19"/>
        <s v="11:17"/>
        <s v="11:14"/>
        <s v="09:21"/>
        <s v="08:46"/>
        <s v="08:09"/>
        <s v="12:06"/>
        <s v="18:54"/>
        <s v="10:10"/>
        <s v="18:36"/>
        <s v="12:38"/>
        <s v="17:19"/>
        <s v="10:28"/>
        <s v="11:46"/>
        <s v="07:37"/>
        <s v="18:52"/>
        <s v="10:40"/>
        <s v="14:42"/>
        <s v="16:49"/>
        <s v="17:21"/>
        <s v="18:17"/>
        <s v="09:08"/>
        <s v="11:45"/>
        <s v="11:11"/>
        <s v="16:20"/>
        <s v="16:07"/>
        <s v="07:09"/>
        <s v="09:58"/>
        <s v="10:45"/>
        <s v="18:55"/>
        <s v="14:54"/>
        <s v="17:24"/>
        <s v="08:35"/>
        <s v="19:01"/>
        <s v="11:19"/>
        <s v="08:08"/>
        <s v="18:21"/>
        <s v="18:45"/>
        <s v="17:06"/>
        <s v="07:49"/>
        <s v="19:10"/>
        <s v="15:07"/>
        <s v="16:39"/>
        <s v="17:01"/>
        <s v="14:56"/>
        <s v="19:58"/>
        <s v="08:37"/>
        <s v="07:44"/>
        <s v="12:49"/>
        <s v="14:05"/>
        <s v="16:54"/>
        <s v="18:16"/>
        <s v="13:27"/>
        <s v="07:46"/>
        <s v="09:38"/>
        <s v="07:40"/>
        <s v="12:23"/>
        <s v="14:00"/>
        <s v="17:17"/>
        <s v="17:35"/>
        <s v="13:42"/>
        <s v="14:22"/>
        <s v="17:58"/>
        <s v="10:33"/>
        <s v="09:17"/>
        <s v="09:59"/>
        <s v="13:33"/>
        <s v="10:44"/>
        <s v="08:14"/>
        <s v="15:31"/>
        <s v="16:36"/>
        <s v="13:23"/>
        <s v="12:55"/>
        <s v="11:16"/>
        <s v="15:41"/>
        <s v="13:11"/>
        <s v="11:30"/>
        <s v="18:25"/>
        <s v="16:30"/>
        <s v="07:31"/>
        <s v="13:29"/>
        <s v="17:10"/>
        <s v="08:17"/>
        <s v="15:01"/>
        <s v="17:44"/>
        <s v="11:20"/>
        <s v="08:15"/>
        <s v="10:25"/>
        <s v="14:12"/>
        <s v="08:21"/>
        <s v="12:37"/>
        <s v="11:40"/>
        <s v="19:06"/>
        <s v="10:29"/>
        <s v="19:29"/>
        <s v="08:30"/>
        <s v="15:20"/>
        <s v="07:48"/>
        <s v="16:48"/>
        <s v="09:55"/>
        <s v="17:03"/>
        <s v="16:06"/>
        <s v="10:48"/>
        <s v="16:42"/>
        <s v="07:38"/>
        <s v="07:47"/>
        <s v="12:47"/>
        <s v="07:17"/>
        <s v="12:39"/>
        <s v="11:53"/>
        <s v="15:25"/>
        <s v="09:19"/>
        <s v="14:33"/>
        <s v="07:03"/>
        <s v="12:08"/>
      </sharedItems>
    </cacheField>
    <cacheField name="Month" numFmtId="0">
      <sharedItems count="6">
        <s v="January"/>
        <s v="March"/>
        <s v="June"/>
        <s v="April"/>
        <s v="February"/>
        <s v="May"/>
      </sharedItems>
    </cacheField>
    <cacheField name="Day Name" numFmtId="0">
      <sharedItems count="7">
        <s v="Wednesday"/>
        <s v="Monday"/>
        <s v="Friday"/>
        <s v="Thursday"/>
        <s v="Tuesday"/>
        <s v="Saturday"/>
        <s v="Sunday"/>
      </sharedItems>
    </cacheField>
    <cacheField name="Store Location" numFmtId="0">
      <sharedItems count="3">
        <s v="Hell's Kitchen"/>
        <s v="Lower Manhattan"/>
        <s v="Astoria"/>
      </sharedItems>
    </cacheField>
    <cacheField name="Product Category" numFmtId="0">
      <sharedItems count="4">
        <s v="Tea"/>
        <s v="Drinking Chocolate"/>
        <s v="Coffee"/>
        <s v="Bakery"/>
      </sharedItems>
    </cacheField>
    <cacheField name="Product Name" numFmtId="0">
      <sharedItems count="11">
        <s v="Black Tea"/>
        <s v="Hot Chocolate"/>
        <s v="Espresso"/>
        <s v="Green Tea"/>
        <s v="Cappuccino"/>
        <s v="Latte"/>
        <s v="Americano"/>
        <s v="Croissant"/>
        <s v="Chai Tea"/>
        <s v="Bagel"/>
        <s v="Muffin"/>
      </sharedItems>
    </cacheField>
    <cacheField name="Quantity" numFmtId="0">
      <sharedItems containsSemiMixedTypes="0" containsString="0" containsNumber="1" containsInteger="1" minValue="1" maxValue="5" count="5">
        <n v="4"/>
        <n v="1"/>
        <n v="3"/>
        <n v="2"/>
        <n v="5"/>
      </sharedItems>
    </cacheField>
    <cacheField name="Unit Price" numFmtId="0">
      <sharedItems containsSemiMixedTypes="0" containsString="0" containsNumber="1" minValue="2.0099999999999998" maxValue="6"/>
    </cacheField>
    <cacheField name="Total Sales" numFmtId="0">
      <sharedItems containsSemiMixedTypes="0" containsString="0" containsNumber="1" minValue="2.0299999999999998" maxValue="30"/>
    </cacheField>
  </cacheFields>
  <extLst>
    <ext xmlns:x14="http://schemas.microsoft.com/office/spreadsheetml/2009/9/main" uri="{725AE2AE-9491-48be-B2B4-4EB974FC3084}">
      <x14:pivotCacheDefinition pivotCacheId="964139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x v="0"/>
    <x v="0"/>
    <x v="0"/>
    <x v="0"/>
    <x v="0"/>
    <x v="0"/>
    <x v="0"/>
    <x v="0"/>
    <n v="5.79"/>
    <n v="23.16"/>
  </r>
  <r>
    <n v="1002"/>
    <x v="1"/>
    <x v="1"/>
    <x v="0"/>
    <x v="1"/>
    <x v="1"/>
    <x v="1"/>
    <x v="1"/>
    <x v="1"/>
    <n v="5.72"/>
    <n v="5.72"/>
  </r>
  <r>
    <n v="1003"/>
    <x v="2"/>
    <x v="2"/>
    <x v="1"/>
    <x v="2"/>
    <x v="2"/>
    <x v="2"/>
    <x v="2"/>
    <x v="2"/>
    <n v="2.2999999999999998"/>
    <n v="6.9"/>
  </r>
  <r>
    <n v="1004"/>
    <x v="3"/>
    <x v="3"/>
    <x v="2"/>
    <x v="3"/>
    <x v="0"/>
    <x v="0"/>
    <x v="3"/>
    <x v="2"/>
    <n v="3.41"/>
    <n v="10.23"/>
  </r>
  <r>
    <n v="1005"/>
    <x v="4"/>
    <x v="4"/>
    <x v="3"/>
    <x v="4"/>
    <x v="2"/>
    <x v="2"/>
    <x v="2"/>
    <x v="3"/>
    <n v="2.54"/>
    <n v="5.08"/>
  </r>
  <r>
    <n v="1006"/>
    <x v="5"/>
    <x v="5"/>
    <x v="4"/>
    <x v="3"/>
    <x v="1"/>
    <x v="2"/>
    <x v="4"/>
    <x v="0"/>
    <n v="5.24"/>
    <n v="20.96"/>
  </r>
  <r>
    <n v="1007"/>
    <x v="6"/>
    <x v="6"/>
    <x v="4"/>
    <x v="3"/>
    <x v="1"/>
    <x v="1"/>
    <x v="1"/>
    <x v="0"/>
    <n v="2.5"/>
    <n v="10"/>
  </r>
  <r>
    <n v="1008"/>
    <x v="7"/>
    <x v="7"/>
    <x v="5"/>
    <x v="2"/>
    <x v="1"/>
    <x v="2"/>
    <x v="4"/>
    <x v="0"/>
    <n v="4.59"/>
    <n v="18.36"/>
  </r>
  <r>
    <n v="1009"/>
    <x v="8"/>
    <x v="8"/>
    <x v="3"/>
    <x v="5"/>
    <x v="2"/>
    <x v="2"/>
    <x v="5"/>
    <x v="1"/>
    <n v="4.0199999999999996"/>
    <n v="4.0199999999999996"/>
  </r>
  <r>
    <n v="1010"/>
    <x v="9"/>
    <x v="9"/>
    <x v="3"/>
    <x v="0"/>
    <x v="1"/>
    <x v="1"/>
    <x v="1"/>
    <x v="1"/>
    <n v="4.97"/>
    <n v="4.97"/>
  </r>
  <r>
    <n v="1011"/>
    <x v="10"/>
    <x v="10"/>
    <x v="3"/>
    <x v="1"/>
    <x v="0"/>
    <x v="2"/>
    <x v="6"/>
    <x v="0"/>
    <n v="2.78"/>
    <n v="11.12"/>
  </r>
  <r>
    <n v="1012"/>
    <x v="11"/>
    <x v="11"/>
    <x v="4"/>
    <x v="0"/>
    <x v="1"/>
    <x v="2"/>
    <x v="6"/>
    <x v="1"/>
    <n v="5.45"/>
    <n v="5.45"/>
  </r>
  <r>
    <n v="1013"/>
    <x v="12"/>
    <x v="12"/>
    <x v="2"/>
    <x v="4"/>
    <x v="1"/>
    <x v="0"/>
    <x v="0"/>
    <x v="3"/>
    <n v="5.92"/>
    <n v="11.84"/>
  </r>
  <r>
    <n v="1014"/>
    <x v="13"/>
    <x v="13"/>
    <x v="2"/>
    <x v="4"/>
    <x v="1"/>
    <x v="2"/>
    <x v="5"/>
    <x v="2"/>
    <n v="3.77"/>
    <n v="11.31"/>
  </r>
  <r>
    <n v="1015"/>
    <x v="14"/>
    <x v="14"/>
    <x v="5"/>
    <x v="4"/>
    <x v="0"/>
    <x v="1"/>
    <x v="1"/>
    <x v="1"/>
    <n v="5.33"/>
    <n v="5.33"/>
  </r>
  <r>
    <n v="1016"/>
    <x v="15"/>
    <x v="15"/>
    <x v="4"/>
    <x v="4"/>
    <x v="1"/>
    <x v="0"/>
    <x v="3"/>
    <x v="4"/>
    <n v="2.88"/>
    <n v="14.4"/>
  </r>
  <r>
    <n v="1017"/>
    <x v="16"/>
    <x v="16"/>
    <x v="0"/>
    <x v="2"/>
    <x v="2"/>
    <x v="3"/>
    <x v="7"/>
    <x v="3"/>
    <n v="5.25"/>
    <n v="10.5"/>
  </r>
  <r>
    <n v="1018"/>
    <x v="17"/>
    <x v="17"/>
    <x v="0"/>
    <x v="4"/>
    <x v="0"/>
    <x v="2"/>
    <x v="4"/>
    <x v="3"/>
    <n v="4.33"/>
    <n v="8.66"/>
  </r>
  <r>
    <n v="1019"/>
    <x v="18"/>
    <x v="18"/>
    <x v="2"/>
    <x v="2"/>
    <x v="1"/>
    <x v="0"/>
    <x v="8"/>
    <x v="0"/>
    <n v="3.57"/>
    <n v="14.28"/>
  </r>
  <r>
    <n v="1020"/>
    <x v="19"/>
    <x v="19"/>
    <x v="3"/>
    <x v="6"/>
    <x v="1"/>
    <x v="1"/>
    <x v="1"/>
    <x v="3"/>
    <n v="3.99"/>
    <n v="7.98"/>
  </r>
  <r>
    <n v="1021"/>
    <x v="20"/>
    <x v="20"/>
    <x v="4"/>
    <x v="3"/>
    <x v="1"/>
    <x v="2"/>
    <x v="6"/>
    <x v="3"/>
    <n v="5.67"/>
    <n v="11.34"/>
  </r>
  <r>
    <n v="1022"/>
    <x v="21"/>
    <x v="21"/>
    <x v="5"/>
    <x v="1"/>
    <x v="2"/>
    <x v="2"/>
    <x v="6"/>
    <x v="4"/>
    <n v="5.0999999999999996"/>
    <n v="25.5"/>
  </r>
  <r>
    <n v="1023"/>
    <x v="22"/>
    <x v="22"/>
    <x v="1"/>
    <x v="6"/>
    <x v="1"/>
    <x v="2"/>
    <x v="2"/>
    <x v="0"/>
    <n v="3.04"/>
    <n v="12.16"/>
  </r>
  <r>
    <n v="1024"/>
    <x v="23"/>
    <x v="23"/>
    <x v="1"/>
    <x v="0"/>
    <x v="2"/>
    <x v="0"/>
    <x v="0"/>
    <x v="0"/>
    <n v="5.31"/>
    <n v="21.24"/>
  </r>
  <r>
    <n v="1025"/>
    <x v="24"/>
    <x v="24"/>
    <x v="4"/>
    <x v="4"/>
    <x v="2"/>
    <x v="3"/>
    <x v="9"/>
    <x v="3"/>
    <n v="5.87"/>
    <n v="11.74"/>
  </r>
  <r>
    <n v="1026"/>
    <x v="25"/>
    <x v="25"/>
    <x v="1"/>
    <x v="5"/>
    <x v="1"/>
    <x v="2"/>
    <x v="5"/>
    <x v="4"/>
    <n v="5.8"/>
    <n v="29"/>
  </r>
  <r>
    <n v="1027"/>
    <x v="26"/>
    <x v="26"/>
    <x v="0"/>
    <x v="4"/>
    <x v="0"/>
    <x v="3"/>
    <x v="10"/>
    <x v="2"/>
    <n v="5.28"/>
    <n v="15.84"/>
  </r>
  <r>
    <n v="1028"/>
    <x v="27"/>
    <x v="27"/>
    <x v="1"/>
    <x v="6"/>
    <x v="1"/>
    <x v="3"/>
    <x v="10"/>
    <x v="4"/>
    <n v="4.8499999999999996"/>
    <n v="24.25"/>
  </r>
  <r>
    <n v="1029"/>
    <x v="28"/>
    <x v="28"/>
    <x v="3"/>
    <x v="2"/>
    <x v="1"/>
    <x v="0"/>
    <x v="8"/>
    <x v="1"/>
    <n v="2.2200000000000002"/>
    <n v="2.2200000000000002"/>
  </r>
  <r>
    <n v="1030"/>
    <x v="29"/>
    <x v="29"/>
    <x v="5"/>
    <x v="5"/>
    <x v="1"/>
    <x v="1"/>
    <x v="1"/>
    <x v="1"/>
    <n v="3.58"/>
    <n v="3.58"/>
  </r>
  <r>
    <n v="1031"/>
    <x v="30"/>
    <x v="30"/>
    <x v="2"/>
    <x v="0"/>
    <x v="1"/>
    <x v="3"/>
    <x v="7"/>
    <x v="1"/>
    <n v="2.93"/>
    <n v="2.93"/>
  </r>
  <r>
    <n v="1032"/>
    <x v="31"/>
    <x v="31"/>
    <x v="4"/>
    <x v="4"/>
    <x v="0"/>
    <x v="2"/>
    <x v="5"/>
    <x v="3"/>
    <n v="4.1900000000000004"/>
    <n v="8.3800000000000008"/>
  </r>
  <r>
    <n v="1033"/>
    <x v="32"/>
    <x v="32"/>
    <x v="1"/>
    <x v="4"/>
    <x v="1"/>
    <x v="3"/>
    <x v="10"/>
    <x v="0"/>
    <n v="2.4"/>
    <n v="9.6"/>
  </r>
  <r>
    <n v="1034"/>
    <x v="33"/>
    <x v="33"/>
    <x v="3"/>
    <x v="6"/>
    <x v="2"/>
    <x v="1"/>
    <x v="1"/>
    <x v="1"/>
    <n v="2.41"/>
    <n v="2.41"/>
  </r>
  <r>
    <n v="1035"/>
    <x v="34"/>
    <x v="34"/>
    <x v="1"/>
    <x v="5"/>
    <x v="0"/>
    <x v="0"/>
    <x v="0"/>
    <x v="2"/>
    <n v="2.79"/>
    <n v="8.3699999999999992"/>
  </r>
  <r>
    <n v="1036"/>
    <x v="35"/>
    <x v="35"/>
    <x v="5"/>
    <x v="0"/>
    <x v="0"/>
    <x v="1"/>
    <x v="1"/>
    <x v="2"/>
    <n v="5.17"/>
    <n v="15.51"/>
  </r>
  <r>
    <n v="1037"/>
    <x v="36"/>
    <x v="36"/>
    <x v="1"/>
    <x v="1"/>
    <x v="1"/>
    <x v="2"/>
    <x v="4"/>
    <x v="1"/>
    <n v="2.85"/>
    <n v="2.85"/>
  </r>
  <r>
    <n v="1038"/>
    <x v="37"/>
    <x v="37"/>
    <x v="1"/>
    <x v="2"/>
    <x v="2"/>
    <x v="1"/>
    <x v="1"/>
    <x v="0"/>
    <n v="3.23"/>
    <n v="12.92"/>
  </r>
  <r>
    <n v="1039"/>
    <x v="38"/>
    <x v="38"/>
    <x v="4"/>
    <x v="2"/>
    <x v="1"/>
    <x v="1"/>
    <x v="1"/>
    <x v="4"/>
    <n v="3.05"/>
    <n v="15.25"/>
  </r>
  <r>
    <n v="1040"/>
    <x v="39"/>
    <x v="39"/>
    <x v="2"/>
    <x v="1"/>
    <x v="1"/>
    <x v="3"/>
    <x v="7"/>
    <x v="2"/>
    <n v="5.14"/>
    <n v="15.42"/>
  </r>
  <r>
    <n v="1041"/>
    <x v="40"/>
    <x v="40"/>
    <x v="2"/>
    <x v="5"/>
    <x v="0"/>
    <x v="0"/>
    <x v="3"/>
    <x v="0"/>
    <n v="3.08"/>
    <n v="12.32"/>
  </r>
  <r>
    <n v="1042"/>
    <x v="41"/>
    <x v="41"/>
    <x v="5"/>
    <x v="0"/>
    <x v="2"/>
    <x v="3"/>
    <x v="7"/>
    <x v="3"/>
    <n v="2.13"/>
    <n v="4.26"/>
  </r>
  <r>
    <n v="1043"/>
    <x v="42"/>
    <x v="42"/>
    <x v="1"/>
    <x v="0"/>
    <x v="0"/>
    <x v="0"/>
    <x v="0"/>
    <x v="2"/>
    <n v="4.5199999999999996"/>
    <n v="13.56"/>
  </r>
  <r>
    <n v="1044"/>
    <x v="43"/>
    <x v="43"/>
    <x v="0"/>
    <x v="3"/>
    <x v="2"/>
    <x v="3"/>
    <x v="7"/>
    <x v="4"/>
    <n v="3.38"/>
    <n v="16.899999999999999"/>
  </r>
  <r>
    <n v="1045"/>
    <x v="44"/>
    <x v="44"/>
    <x v="1"/>
    <x v="1"/>
    <x v="2"/>
    <x v="1"/>
    <x v="1"/>
    <x v="0"/>
    <n v="2.78"/>
    <n v="11.12"/>
  </r>
  <r>
    <n v="1046"/>
    <x v="45"/>
    <x v="45"/>
    <x v="1"/>
    <x v="4"/>
    <x v="0"/>
    <x v="0"/>
    <x v="8"/>
    <x v="4"/>
    <n v="3.83"/>
    <n v="19.149999999999999"/>
  </r>
  <r>
    <n v="1047"/>
    <x v="33"/>
    <x v="46"/>
    <x v="3"/>
    <x v="6"/>
    <x v="1"/>
    <x v="2"/>
    <x v="4"/>
    <x v="4"/>
    <n v="4.4400000000000004"/>
    <n v="22.2"/>
  </r>
  <r>
    <n v="1048"/>
    <x v="46"/>
    <x v="47"/>
    <x v="1"/>
    <x v="6"/>
    <x v="1"/>
    <x v="2"/>
    <x v="4"/>
    <x v="4"/>
    <n v="2.4900000000000002"/>
    <n v="12.45"/>
  </r>
  <r>
    <n v="1049"/>
    <x v="47"/>
    <x v="48"/>
    <x v="2"/>
    <x v="5"/>
    <x v="0"/>
    <x v="1"/>
    <x v="1"/>
    <x v="0"/>
    <n v="3.52"/>
    <n v="14.08"/>
  </r>
  <r>
    <n v="1050"/>
    <x v="48"/>
    <x v="8"/>
    <x v="3"/>
    <x v="1"/>
    <x v="2"/>
    <x v="0"/>
    <x v="0"/>
    <x v="3"/>
    <n v="4.54"/>
    <n v="9.08"/>
  </r>
  <r>
    <n v="1051"/>
    <x v="15"/>
    <x v="12"/>
    <x v="4"/>
    <x v="4"/>
    <x v="1"/>
    <x v="2"/>
    <x v="5"/>
    <x v="2"/>
    <n v="5.75"/>
    <n v="17.25"/>
  </r>
  <r>
    <n v="1052"/>
    <x v="12"/>
    <x v="10"/>
    <x v="2"/>
    <x v="4"/>
    <x v="2"/>
    <x v="0"/>
    <x v="8"/>
    <x v="3"/>
    <n v="4.0999999999999996"/>
    <n v="8.1999999999999993"/>
  </r>
  <r>
    <n v="1053"/>
    <x v="24"/>
    <x v="49"/>
    <x v="4"/>
    <x v="4"/>
    <x v="0"/>
    <x v="0"/>
    <x v="8"/>
    <x v="2"/>
    <n v="3.35"/>
    <n v="10.050000000000001"/>
  </r>
  <r>
    <n v="1054"/>
    <x v="49"/>
    <x v="50"/>
    <x v="5"/>
    <x v="0"/>
    <x v="1"/>
    <x v="0"/>
    <x v="3"/>
    <x v="4"/>
    <n v="4.12"/>
    <n v="20.6"/>
  </r>
  <r>
    <n v="1055"/>
    <x v="41"/>
    <x v="51"/>
    <x v="5"/>
    <x v="0"/>
    <x v="1"/>
    <x v="3"/>
    <x v="7"/>
    <x v="3"/>
    <n v="2.58"/>
    <n v="5.16"/>
  </r>
  <r>
    <n v="1056"/>
    <x v="40"/>
    <x v="52"/>
    <x v="2"/>
    <x v="5"/>
    <x v="0"/>
    <x v="3"/>
    <x v="7"/>
    <x v="3"/>
    <n v="2.98"/>
    <n v="5.96"/>
  </r>
  <r>
    <n v="1057"/>
    <x v="50"/>
    <x v="53"/>
    <x v="4"/>
    <x v="6"/>
    <x v="2"/>
    <x v="1"/>
    <x v="1"/>
    <x v="1"/>
    <n v="5.95"/>
    <n v="5.95"/>
  </r>
  <r>
    <n v="1058"/>
    <x v="51"/>
    <x v="54"/>
    <x v="1"/>
    <x v="3"/>
    <x v="1"/>
    <x v="1"/>
    <x v="1"/>
    <x v="2"/>
    <n v="5.9"/>
    <n v="17.7"/>
  </r>
  <r>
    <n v="1059"/>
    <x v="45"/>
    <x v="9"/>
    <x v="1"/>
    <x v="4"/>
    <x v="2"/>
    <x v="3"/>
    <x v="10"/>
    <x v="0"/>
    <n v="5.95"/>
    <n v="23.8"/>
  </r>
  <r>
    <n v="1060"/>
    <x v="4"/>
    <x v="55"/>
    <x v="3"/>
    <x v="4"/>
    <x v="1"/>
    <x v="3"/>
    <x v="7"/>
    <x v="4"/>
    <n v="3.39"/>
    <n v="16.95"/>
  </r>
  <r>
    <n v="1061"/>
    <x v="26"/>
    <x v="56"/>
    <x v="0"/>
    <x v="4"/>
    <x v="0"/>
    <x v="1"/>
    <x v="1"/>
    <x v="0"/>
    <n v="2.71"/>
    <n v="10.84"/>
  </r>
  <r>
    <n v="1062"/>
    <x v="52"/>
    <x v="57"/>
    <x v="0"/>
    <x v="3"/>
    <x v="0"/>
    <x v="2"/>
    <x v="2"/>
    <x v="2"/>
    <n v="5.73"/>
    <n v="17.190000000000001"/>
  </r>
  <r>
    <n v="1063"/>
    <x v="53"/>
    <x v="58"/>
    <x v="0"/>
    <x v="0"/>
    <x v="0"/>
    <x v="1"/>
    <x v="1"/>
    <x v="2"/>
    <n v="4.29"/>
    <n v="12.87"/>
  </r>
  <r>
    <n v="1064"/>
    <x v="2"/>
    <x v="59"/>
    <x v="1"/>
    <x v="2"/>
    <x v="1"/>
    <x v="3"/>
    <x v="9"/>
    <x v="0"/>
    <n v="4.45"/>
    <n v="17.8"/>
  </r>
  <r>
    <n v="1065"/>
    <x v="54"/>
    <x v="60"/>
    <x v="1"/>
    <x v="0"/>
    <x v="2"/>
    <x v="2"/>
    <x v="2"/>
    <x v="1"/>
    <n v="3.79"/>
    <n v="3.79"/>
  </r>
  <r>
    <n v="1066"/>
    <x v="55"/>
    <x v="61"/>
    <x v="0"/>
    <x v="2"/>
    <x v="1"/>
    <x v="2"/>
    <x v="6"/>
    <x v="3"/>
    <n v="3.12"/>
    <n v="6.24"/>
  </r>
  <r>
    <n v="1067"/>
    <x v="56"/>
    <x v="62"/>
    <x v="2"/>
    <x v="1"/>
    <x v="2"/>
    <x v="0"/>
    <x v="3"/>
    <x v="1"/>
    <n v="2.58"/>
    <n v="2.58"/>
  </r>
  <r>
    <n v="1068"/>
    <x v="57"/>
    <x v="63"/>
    <x v="2"/>
    <x v="3"/>
    <x v="1"/>
    <x v="3"/>
    <x v="10"/>
    <x v="3"/>
    <n v="5.49"/>
    <n v="10.98"/>
  </r>
  <r>
    <n v="1069"/>
    <x v="58"/>
    <x v="64"/>
    <x v="3"/>
    <x v="6"/>
    <x v="2"/>
    <x v="3"/>
    <x v="7"/>
    <x v="4"/>
    <n v="5.21"/>
    <n v="26.05"/>
  </r>
  <r>
    <n v="1070"/>
    <x v="59"/>
    <x v="65"/>
    <x v="5"/>
    <x v="6"/>
    <x v="2"/>
    <x v="3"/>
    <x v="9"/>
    <x v="1"/>
    <n v="2.77"/>
    <n v="2.77"/>
  </r>
  <r>
    <n v="1071"/>
    <x v="46"/>
    <x v="66"/>
    <x v="1"/>
    <x v="6"/>
    <x v="0"/>
    <x v="2"/>
    <x v="2"/>
    <x v="3"/>
    <n v="4.83"/>
    <n v="9.66"/>
  </r>
  <r>
    <n v="1072"/>
    <x v="60"/>
    <x v="67"/>
    <x v="5"/>
    <x v="1"/>
    <x v="1"/>
    <x v="3"/>
    <x v="9"/>
    <x v="0"/>
    <n v="5.66"/>
    <n v="22.64"/>
  </r>
  <r>
    <n v="1073"/>
    <x v="61"/>
    <x v="68"/>
    <x v="0"/>
    <x v="6"/>
    <x v="0"/>
    <x v="2"/>
    <x v="4"/>
    <x v="1"/>
    <n v="2.74"/>
    <n v="2.74"/>
  </r>
  <r>
    <n v="1074"/>
    <x v="23"/>
    <x v="69"/>
    <x v="1"/>
    <x v="0"/>
    <x v="1"/>
    <x v="3"/>
    <x v="7"/>
    <x v="2"/>
    <n v="3.69"/>
    <n v="11.07"/>
  </r>
  <r>
    <n v="1075"/>
    <x v="18"/>
    <x v="70"/>
    <x v="2"/>
    <x v="2"/>
    <x v="2"/>
    <x v="3"/>
    <x v="9"/>
    <x v="0"/>
    <n v="3.22"/>
    <n v="12.88"/>
  </r>
  <r>
    <n v="1076"/>
    <x v="62"/>
    <x v="71"/>
    <x v="5"/>
    <x v="5"/>
    <x v="1"/>
    <x v="0"/>
    <x v="0"/>
    <x v="4"/>
    <n v="3.7"/>
    <n v="18.5"/>
  </r>
  <r>
    <n v="1077"/>
    <x v="25"/>
    <x v="72"/>
    <x v="1"/>
    <x v="5"/>
    <x v="1"/>
    <x v="3"/>
    <x v="10"/>
    <x v="3"/>
    <n v="4.29"/>
    <n v="8.58"/>
  </r>
  <r>
    <n v="1078"/>
    <x v="63"/>
    <x v="73"/>
    <x v="1"/>
    <x v="5"/>
    <x v="0"/>
    <x v="1"/>
    <x v="1"/>
    <x v="4"/>
    <n v="2.59"/>
    <n v="12.95"/>
  </r>
  <r>
    <n v="1079"/>
    <x v="42"/>
    <x v="74"/>
    <x v="1"/>
    <x v="0"/>
    <x v="0"/>
    <x v="2"/>
    <x v="4"/>
    <x v="0"/>
    <n v="3.38"/>
    <n v="13.52"/>
  </r>
  <r>
    <n v="1080"/>
    <x v="64"/>
    <x v="75"/>
    <x v="1"/>
    <x v="1"/>
    <x v="2"/>
    <x v="3"/>
    <x v="7"/>
    <x v="3"/>
    <n v="2.88"/>
    <n v="5.76"/>
  </r>
  <r>
    <n v="1081"/>
    <x v="65"/>
    <x v="68"/>
    <x v="5"/>
    <x v="3"/>
    <x v="1"/>
    <x v="3"/>
    <x v="9"/>
    <x v="1"/>
    <n v="4.58"/>
    <n v="4.58"/>
  </r>
  <r>
    <n v="1082"/>
    <x v="41"/>
    <x v="76"/>
    <x v="5"/>
    <x v="0"/>
    <x v="2"/>
    <x v="3"/>
    <x v="9"/>
    <x v="0"/>
    <n v="5.72"/>
    <n v="22.88"/>
  </r>
  <r>
    <n v="1083"/>
    <x v="66"/>
    <x v="77"/>
    <x v="0"/>
    <x v="4"/>
    <x v="1"/>
    <x v="0"/>
    <x v="8"/>
    <x v="1"/>
    <n v="3.33"/>
    <n v="3.33"/>
  </r>
  <r>
    <n v="1084"/>
    <x v="24"/>
    <x v="78"/>
    <x v="4"/>
    <x v="4"/>
    <x v="1"/>
    <x v="2"/>
    <x v="6"/>
    <x v="1"/>
    <n v="5.52"/>
    <n v="5.52"/>
  </r>
  <r>
    <n v="1085"/>
    <x v="53"/>
    <x v="79"/>
    <x v="0"/>
    <x v="0"/>
    <x v="0"/>
    <x v="2"/>
    <x v="5"/>
    <x v="3"/>
    <n v="5.29"/>
    <n v="10.58"/>
  </r>
  <r>
    <n v="1086"/>
    <x v="40"/>
    <x v="80"/>
    <x v="2"/>
    <x v="5"/>
    <x v="1"/>
    <x v="3"/>
    <x v="9"/>
    <x v="2"/>
    <n v="5.61"/>
    <n v="16.829999999999998"/>
  </r>
  <r>
    <n v="1087"/>
    <x v="67"/>
    <x v="81"/>
    <x v="3"/>
    <x v="0"/>
    <x v="2"/>
    <x v="0"/>
    <x v="3"/>
    <x v="4"/>
    <n v="2.8"/>
    <n v="14"/>
  </r>
  <r>
    <n v="1088"/>
    <x v="68"/>
    <x v="82"/>
    <x v="0"/>
    <x v="2"/>
    <x v="0"/>
    <x v="2"/>
    <x v="5"/>
    <x v="1"/>
    <n v="3.29"/>
    <n v="3.29"/>
  </r>
  <r>
    <n v="1089"/>
    <x v="69"/>
    <x v="83"/>
    <x v="3"/>
    <x v="5"/>
    <x v="1"/>
    <x v="3"/>
    <x v="7"/>
    <x v="2"/>
    <n v="5.67"/>
    <n v="17.010000000000002"/>
  </r>
  <r>
    <n v="1090"/>
    <x v="32"/>
    <x v="84"/>
    <x v="1"/>
    <x v="4"/>
    <x v="0"/>
    <x v="0"/>
    <x v="3"/>
    <x v="3"/>
    <n v="2.62"/>
    <n v="5.24"/>
  </r>
  <r>
    <n v="1091"/>
    <x v="70"/>
    <x v="85"/>
    <x v="2"/>
    <x v="6"/>
    <x v="0"/>
    <x v="2"/>
    <x v="4"/>
    <x v="2"/>
    <n v="3.46"/>
    <n v="10.38"/>
  </r>
  <r>
    <n v="1092"/>
    <x v="71"/>
    <x v="86"/>
    <x v="0"/>
    <x v="6"/>
    <x v="0"/>
    <x v="0"/>
    <x v="0"/>
    <x v="0"/>
    <n v="5.22"/>
    <n v="20.88"/>
  </r>
  <r>
    <n v="1093"/>
    <x v="72"/>
    <x v="87"/>
    <x v="5"/>
    <x v="0"/>
    <x v="0"/>
    <x v="3"/>
    <x v="10"/>
    <x v="0"/>
    <n v="3.82"/>
    <n v="15.28"/>
  </r>
  <r>
    <n v="1094"/>
    <x v="73"/>
    <x v="88"/>
    <x v="4"/>
    <x v="5"/>
    <x v="2"/>
    <x v="1"/>
    <x v="1"/>
    <x v="2"/>
    <n v="4.38"/>
    <n v="13.14"/>
  </r>
  <r>
    <n v="1095"/>
    <x v="74"/>
    <x v="41"/>
    <x v="3"/>
    <x v="5"/>
    <x v="2"/>
    <x v="2"/>
    <x v="5"/>
    <x v="2"/>
    <n v="4.57"/>
    <n v="13.71"/>
  </r>
  <r>
    <n v="1096"/>
    <x v="75"/>
    <x v="89"/>
    <x v="2"/>
    <x v="2"/>
    <x v="1"/>
    <x v="3"/>
    <x v="7"/>
    <x v="1"/>
    <n v="5.48"/>
    <n v="5.48"/>
  </r>
  <r>
    <n v="1097"/>
    <x v="76"/>
    <x v="90"/>
    <x v="4"/>
    <x v="3"/>
    <x v="2"/>
    <x v="1"/>
    <x v="1"/>
    <x v="4"/>
    <n v="5.09"/>
    <n v="25.45"/>
  </r>
  <r>
    <n v="1098"/>
    <x v="77"/>
    <x v="66"/>
    <x v="3"/>
    <x v="3"/>
    <x v="1"/>
    <x v="0"/>
    <x v="8"/>
    <x v="3"/>
    <n v="5.12"/>
    <n v="10.24"/>
  </r>
  <r>
    <n v="1099"/>
    <x v="78"/>
    <x v="91"/>
    <x v="4"/>
    <x v="2"/>
    <x v="0"/>
    <x v="3"/>
    <x v="7"/>
    <x v="4"/>
    <n v="3.42"/>
    <n v="17.100000000000001"/>
  </r>
  <r>
    <n v="1100"/>
    <x v="79"/>
    <x v="92"/>
    <x v="0"/>
    <x v="1"/>
    <x v="0"/>
    <x v="3"/>
    <x v="10"/>
    <x v="2"/>
    <n v="3.73"/>
    <n v="11.19"/>
  </r>
  <r>
    <n v="1101"/>
    <x v="80"/>
    <x v="93"/>
    <x v="3"/>
    <x v="1"/>
    <x v="2"/>
    <x v="1"/>
    <x v="1"/>
    <x v="0"/>
    <n v="2.4500000000000002"/>
    <n v="9.8000000000000007"/>
  </r>
  <r>
    <n v="1102"/>
    <x v="16"/>
    <x v="94"/>
    <x v="0"/>
    <x v="2"/>
    <x v="2"/>
    <x v="1"/>
    <x v="1"/>
    <x v="4"/>
    <n v="4.3099999999999996"/>
    <n v="21.55"/>
  </r>
  <r>
    <n v="1103"/>
    <x v="81"/>
    <x v="95"/>
    <x v="3"/>
    <x v="1"/>
    <x v="1"/>
    <x v="3"/>
    <x v="7"/>
    <x v="0"/>
    <n v="5.8"/>
    <n v="23.2"/>
  </r>
  <r>
    <n v="1104"/>
    <x v="41"/>
    <x v="96"/>
    <x v="5"/>
    <x v="0"/>
    <x v="2"/>
    <x v="0"/>
    <x v="3"/>
    <x v="2"/>
    <n v="4.32"/>
    <n v="12.96"/>
  </r>
  <r>
    <n v="1105"/>
    <x v="82"/>
    <x v="97"/>
    <x v="0"/>
    <x v="3"/>
    <x v="1"/>
    <x v="2"/>
    <x v="2"/>
    <x v="3"/>
    <n v="4.6100000000000003"/>
    <n v="9.2200000000000006"/>
  </r>
  <r>
    <n v="1106"/>
    <x v="67"/>
    <x v="98"/>
    <x v="3"/>
    <x v="0"/>
    <x v="1"/>
    <x v="3"/>
    <x v="7"/>
    <x v="3"/>
    <n v="2.5099999999999998"/>
    <n v="5.0199999999999996"/>
  </r>
  <r>
    <n v="1107"/>
    <x v="83"/>
    <x v="99"/>
    <x v="2"/>
    <x v="0"/>
    <x v="0"/>
    <x v="2"/>
    <x v="5"/>
    <x v="1"/>
    <n v="4.21"/>
    <n v="4.21"/>
  </r>
  <r>
    <n v="1108"/>
    <x v="14"/>
    <x v="100"/>
    <x v="5"/>
    <x v="4"/>
    <x v="2"/>
    <x v="2"/>
    <x v="5"/>
    <x v="1"/>
    <n v="2.17"/>
    <n v="2.17"/>
  </r>
  <r>
    <n v="1109"/>
    <x v="20"/>
    <x v="42"/>
    <x v="4"/>
    <x v="3"/>
    <x v="2"/>
    <x v="0"/>
    <x v="0"/>
    <x v="0"/>
    <n v="3.97"/>
    <n v="15.88"/>
  </r>
  <r>
    <n v="1110"/>
    <x v="55"/>
    <x v="101"/>
    <x v="0"/>
    <x v="2"/>
    <x v="2"/>
    <x v="1"/>
    <x v="1"/>
    <x v="2"/>
    <n v="5.24"/>
    <n v="15.72"/>
  </r>
  <r>
    <n v="1111"/>
    <x v="42"/>
    <x v="102"/>
    <x v="1"/>
    <x v="0"/>
    <x v="2"/>
    <x v="1"/>
    <x v="1"/>
    <x v="4"/>
    <n v="5.2"/>
    <n v="26"/>
  </r>
  <r>
    <n v="1112"/>
    <x v="84"/>
    <x v="103"/>
    <x v="5"/>
    <x v="6"/>
    <x v="1"/>
    <x v="0"/>
    <x v="8"/>
    <x v="3"/>
    <n v="4.84"/>
    <n v="9.68"/>
  </r>
  <r>
    <n v="1113"/>
    <x v="42"/>
    <x v="104"/>
    <x v="1"/>
    <x v="0"/>
    <x v="2"/>
    <x v="3"/>
    <x v="9"/>
    <x v="2"/>
    <n v="2.2200000000000002"/>
    <n v="6.66"/>
  </r>
  <r>
    <n v="1114"/>
    <x v="85"/>
    <x v="105"/>
    <x v="4"/>
    <x v="5"/>
    <x v="0"/>
    <x v="2"/>
    <x v="5"/>
    <x v="1"/>
    <n v="5.81"/>
    <n v="5.81"/>
  </r>
  <r>
    <n v="1115"/>
    <x v="86"/>
    <x v="49"/>
    <x v="2"/>
    <x v="5"/>
    <x v="1"/>
    <x v="1"/>
    <x v="1"/>
    <x v="3"/>
    <n v="4.79"/>
    <n v="9.58"/>
  </r>
  <r>
    <n v="1116"/>
    <x v="25"/>
    <x v="106"/>
    <x v="1"/>
    <x v="5"/>
    <x v="2"/>
    <x v="1"/>
    <x v="1"/>
    <x v="1"/>
    <n v="5.59"/>
    <n v="5.59"/>
  </r>
  <r>
    <n v="1117"/>
    <x v="87"/>
    <x v="107"/>
    <x v="4"/>
    <x v="6"/>
    <x v="0"/>
    <x v="3"/>
    <x v="10"/>
    <x v="3"/>
    <n v="3.67"/>
    <n v="7.34"/>
  </r>
  <r>
    <n v="1118"/>
    <x v="88"/>
    <x v="108"/>
    <x v="3"/>
    <x v="3"/>
    <x v="0"/>
    <x v="3"/>
    <x v="7"/>
    <x v="1"/>
    <n v="5.1100000000000003"/>
    <n v="5.1100000000000003"/>
  </r>
  <r>
    <n v="1119"/>
    <x v="89"/>
    <x v="109"/>
    <x v="5"/>
    <x v="1"/>
    <x v="2"/>
    <x v="1"/>
    <x v="1"/>
    <x v="0"/>
    <n v="5.88"/>
    <n v="23.52"/>
  </r>
  <r>
    <n v="1120"/>
    <x v="58"/>
    <x v="110"/>
    <x v="3"/>
    <x v="6"/>
    <x v="2"/>
    <x v="3"/>
    <x v="7"/>
    <x v="0"/>
    <n v="2.2999999999999998"/>
    <n v="9.1999999999999993"/>
  </r>
  <r>
    <n v="1121"/>
    <x v="90"/>
    <x v="111"/>
    <x v="5"/>
    <x v="4"/>
    <x v="0"/>
    <x v="3"/>
    <x v="9"/>
    <x v="0"/>
    <n v="2.61"/>
    <n v="10.44"/>
  </r>
  <r>
    <n v="1122"/>
    <x v="87"/>
    <x v="112"/>
    <x v="4"/>
    <x v="6"/>
    <x v="2"/>
    <x v="1"/>
    <x v="1"/>
    <x v="1"/>
    <n v="4.1900000000000004"/>
    <n v="4.1900000000000004"/>
  </r>
  <r>
    <n v="1123"/>
    <x v="91"/>
    <x v="113"/>
    <x v="2"/>
    <x v="4"/>
    <x v="0"/>
    <x v="3"/>
    <x v="10"/>
    <x v="0"/>
    <n v="2.92"/>
    <n v="11.68"/>
  </r>
  <r>
    <n v="1124"/>
    <x v="92"/>
    <x v="114"/>
    <x v="5"/>
    <x v="6"/>
    <x v="1"/>
    <x v="0"/>
    <x v="0"/>
    <x v="0"/>
    <n v="4.3"/>
    <n v="17.2"/>
  </r>
  <r>
    <n v="1125"/>
    <x v="93"/>
    <x v="115"/>
    <x v="4"/>
    <x v="1"/>
    <x v="0"/>
    <x v="0"/>
    <x v="0"/>
    <x v="3"/>
    <n v="2.76"/>
    <n v="5.52"/>
  </r>
  <r>
    <n v="1126"/>
    <x v="85"/>
    <x v="116"/>
    <x v="4"/>
    <x v="5"/>
    <x v="2"/>
    <x v="3"/>
    <x v="9"/>
    <x v="1"/>
    <n v="5.81"/>
    <n v="5.81"/>
  </r>
  <r>
    <n v="1127"/>
    <x v="94"/>
    <x v="117"/>
    <x v="0"/>
    <x v="6"/>
    <x v="2"/>
    <x v="3"/>
    <x v="9"/>
    <x v="1"/>
    <n v="4.97"/>
    <n v="4.97"/>
  </r>
  <r>
    <n v="1128"/>
    <x v="51"/>
    <x v="57"/>
    <x v="1"/>
    <x v="3"/>
    <x v="1"/>
    <x v="3"/>
    <x v="7"/>
    <x v="0"/>
    <n v="3.35"/>
    <n v="13.4"/>
  </r>
  <r>
    <n v="1129"/>
    <x v="21"/>
    <x v="108"/>
    <x v="5"/>
    <x v="1"/>
    <x v="2"/>
    <x v="0"/>
    <x v="8"/>
    <x v="1"/>
    <n v="3.4"/>
    <n v="3.4"/>
  </r>
  <r>
    <n v="1130"/>
    <x v="2"/>
    <x v="118"/>
    <x v="1"/>
    <x v="2"/>
    <x v="2"/>
    <x v="0"/>
    <x v="8"/>
    <x v="0"/>
    <n v="4.51"/>
    <n v="18.04"/>
  </r>
  <r>
    <n v="1131"/>
    <x v="95"/>
    <x v="119"/>
    <x v="2"/>
    <x v="2"/>
    <x v="1"/>
    <x v="0"/>
    <x v="3"/>
    <x v="0"/>
    <n v="4.9800000000000004"/>
    <n v="19.920000000000002"/>
  </r>
  <r>
    <n v="1132"/>
    <x v="96"/>
    <x v="120"/>
    <x v="3"/>
    <x v="0"/>
    <x v="1"/>
    <x v="3"/>
    <x v="7"/>
    <x v="4"/>
    <n v="5.93"/>
    <n v="29.65"/>
  </r>
  <r>
    <n v="1133"/>
    <x v="66"/>
    <x v="121"/>
    <x v="0"/>
    <x v="4"/>
    <x v="1"/>
    <x v="3"/>
    <x v="7"/>
    <x v="4"/>
    <n v="5.72"/>
    <n v="28.6"/>
  </r>
  <r>
    <n v="1134"/>
    <x v="48"/>
    <x v="122"/>
    <x v="3"/>
    <x v="1"/>
    <x v="1"/>
    <x v="3"/>
    <x v="9"/>
    <x v="3"/>
    <n v="3.7"/>
    <n v="7.4"/>
  </r>
  <r>
    <n v="1135"/>
    <x v="97"/>
    <x v="123"/>
    <x v="2"/>
    <x v="4"/>
    <x v="2"/>
    <x v="1"/>
    <x v="1"/>
    <x v="1"/>
    <n v="4.93"/>
    <n v="4.93"/>
  </r>
  <r>
    <n v="1136"/>
    <x v="98"/>
    <x v="18"/>
    <x v="1"/>
    <x v="5"/>
    <x v="2"/>
    <x v="3"/>
    <x v="9"/>
    <x v="2"/>
    <n v="4.72"/>
    <n v="14.16"/>
  </r>
  <r>
    <n v="1137"/>
    <x v="67"/>
    <x v="95"/>
    <x v="3"/>
    <x v="0"/>
    <x v="0"/>
    <x v="2"/>
    <x v="2"/>
    <x v="0"/>
    <n v="2.83"/>
    <n v="11.32"/>
  </r>
  <r>
    <n v="1138"/>
    <x v="84"/>
    <x v="124"/>
    <x v="5"/>
    <x v="6"/>
    <x v="1"/>
    <x v="0"/>
    <x v="8"/>
    <x v="1"/>
    <n v="5.08"/>
    <n v="5.08"/>
  </r>
  <r>
    <n v="1139"/>
    <x v="21"/>
    <x v="125"/>
    <x v="5"/>
    <x v="1"/>
    <x v="0"/>
    <x v="1"/>
    <x v="1"/>
    <x v="1"/>
    <n v="2.62"/>
    <n v="2.62"/>
  </r>
  <r>
    <n v="1140"/>
    <x v="48"/>
    <x v="126"/>
    <x v="3"/>
    <x v="1"/>
    <x v="2"/>
    <x v="0"/>
    <x v="3"/>
    <x v="1"/>
    <n v="3.37"/>
    <n v="3.37"/>
  </r>
  <r>
    <n v="1141"/>
    <x v="99"/>
    <x v="62"/>
    <x v="2"/>
    <x v="5"/>
    <x v="2"/>
    <x v="3"/>
    <x v="10"/>
    <x v="2"/>
    <n v="4.08"/>
    <n v="12.24"/>
  </r>
  <r>
    <n v="1142"/>
    <x v="100"/>
    <x v="85"/>
    <x v="1"/>
    <x v="6"/>
    <x v="1"/>
    <x v="2"/>
    <x v="6"/>
    <x v="1"/>
    <n v="2.13"/>
    <n v="2.13"/>
  </r>
  <r>
    <n v="1143"/>
    <x v="101"/>
    <x v="127"/>
    <x v="2"/>
    <x v="3"/>
    <x v="0"/>
    <x v="3"/>
    <x v="10"/>
    <x v="4"/>
    <n v="2.64"/>
    <n v="13.2"/>
  </r>
  <r>
    <n v="1144"/>
    <x v="102"/>
    <x v="128"/>
    <x v="2"/>
    <x v="6"/>
    <x v="1"/>
    <x v="0"/>
    <x v="8"/>
    <x v="0"/>
    <n v="2.98"/>
    <n v="11.92"/>
  </r>
  <r>
    <n v="1145"/>
    <x v="103"/>
    <x v="129"/>
    <x v="4"/>
    <x v="1"/>
    <x v="2"/>
    <x v="2"/>
    <x v="6"/>
    <x v="4"/>
    <n v="5.39"/>
    <n v="26.95"/>
  </r>
  <r>
    <n v="1146"/>
    <x v="86"/>
    <x v="130"/>
    <x v="2"/>
    <x v="5"/>
    <x v="0"/>
    <x v="2"/>
    <x v="2"/>
    <x v="1"/>
    <n v="5.64"/>
    <n v="5.64"/>
  </r>
  <r>
    <n v="1147"/>
    <x v="89"/>
    <x v="131"/>
    <x v="5"/>
    <x v="1"/>
    <x v="1"/>
    <x v="3"/>
    <x v="7"/>
    <x v="3"/>
    <n v="2.15"/>
    <n v="4.3"/>
  </r>
  <r>
    <n v="1148"/>
    <x v="52"/>
    <x v="132"/>
    <x v="0"/>
    <x v="3"/>
    <x v="1"/>
    <x v="1"/>
    <x v="1"/>
    <x v="3"/>
    <n v="4.12"/>
    <n v="8.24"/>
  </r>
  <r>
    <n v="1149"/>
    <x v="8"/>
    <x v="133"/>
    <x v="3"/>
    <x v="5"/>
    <x v="1"/>
    <x v="0"/>
    <x v="8"/>
    <x v="1"/>
    <n v="5.87"/>
    <n v="5.87"/>
  </r>
  <r>
    <n v="1150"/>
    <x v="12"/>
    <x v="134"/>
    <x v="2"/>
    <x v="4"/>
    <x v="0"/>
    <x v="0"/>
    <x v="0"/>
    <x v="3"/>
    <n v="2.86"/>
    <n v="5.72"/>
  </r>
  <r>
    <n v="1151"/>
    <x v="29"/>
    <x v="135"/>
    <x v="5"/>
    <x v="5"/>
    <x v="0"/>
    <x v="2"/>
    <x v="6"/>
    <x v="3"/>
    <n v="4.5199999999999996"/>
    <n v="9.0399999999999991"/>
  </r>
  <r>
    <n v="1152"/>
    <x v="87"/>
    <x v="136"/>
    <x v="4"/>
    <x v="6"/>
    <x v="2"/>
    <x v="0"/>
    <x v="8"/>
    <x v="3"/>
    <n v="3.99"/>
    <n v="7.98"/>
  </r>
  <r>
    <n v="1153"/>
    <x v="12"/>
    <x v="137"/>
    <x v="2"/>
    <x v="4"/>
    <x v="1"/>
    <x v="0"/>
    <x v="0"/>
    <x v="0"/>
    <n v="5.2"/>
    <n v="20.8"/>
  </r>
  <r>
    <n v="1154"/>
    <x v="104"/>
    <x v="138"/>
    <x v="3"/>
    <x v="2"/>
    <x v="2"/>
    <x v="2"/>
    <x v="2"/>
    <x v="1"/>
    <n v="5.61"/>
    <n v="5.61"/>
  </r>
  <r>
    <n v="1155"/>
    <x v="95"/>
    <x v="139"/>
    <x v="2"/>
    <x v="2"/>
    <x v="0"/>
    <x v="1"/>
    <x v="1"/>
    <x v="0"/>
    <n v="5.51"/>
    <n v="22.04"/>
  </r>
  <r>
    <n v="1156"/>
    <x v="105"/>
    <x v="140"/>
    <x v="4"/>
    <x v="5"/>
    <x v="0"/>
    <x v="1"/>
    <x v="1"/>
    <x v="3"/>
    <n v="3.29"/>
    <n v="6.58"/>
  </r>
  <r>
    <n v="1157"/>
    <x v="32"/>
    <x v="141"/>
    <x v="1"/>
    <x v="4"/>
    <x v="2"/>
    <x v="1"/>
    <x v="1"/>
    <x v="4"/>
    <n v="4.03"/>
    <n v="20.149999999999999"/>
  </r>
  <r>
    <n v="1158"/>
    <x v="106"/>
    <x v="142"/>
    <x v="2"/>
    <x v="1"/>
    <x v="2"/>
    <x v="3"/>
    <x v="10"/>
    <x v="3"/>
    <n v="3.78"/>
    <n v="7.56"/>
  </r>
  <r>
    <n v="1159"/>
    <x v="21"/>
    <x v="143"/>
    <x v="5"/>
    <x v="1"/>
    <x v="0"/>
    <x v="3"/>
    <x v="10"/>
    <x v="2"/>
    <n v="4.24"/>
    <n v="12.72"/>
  </r>
  <r>
    <n v="1160"/>
    <x v="107"/>
    <x v="144"/>
    <x v="5"/>
    <x v="3"/>
    <x v="0"/>
    <x v="1"/>
    <x v="1"/>
    <x v="4"/>
    <n v="3.36"/>
    <n v="16.8"/>
  </r>
  <r>
    <n v="1161"/>
    <x v="108"/>
    <x v="145"/>
    <x v="0"/>
    <x v="1"/>
    <x v="1"/>
    <x v="2"/>
    <x v="2"/>
    <x v="4"/>
    <n v="5.72"/>
    <n v="28.6"/>
  </r>
  <r>
    <n v="1162"/>
    <x v="109"/>
    <x v="146"/>
    <x v="4"/>
    <x v="0"/>
    <x v="2"/>
    <x v="0"/>
    <x v="0"/>
    <x v="1"/>
    <n v="2.77"/>
    <n v="2.77"/>
  </r>
  <r>
    <n v="1163"/>
    <x v="68"/>
    <x v="147"/>
    <x v="0"/>
    <x v="2"/>
    <x v="0"/>
    <x v="1"/>
    <x v="1"/>
    <x v="0"/>
    <n v="3.43"/>
    <n v="13.72"/>
  </r>
  <r>
    <n v="1164"/>
    <x v="110"/>
    <x v="127"/>
    <x v="0"/>
    <x v="6"/>
    <x v="2"/>
    <x v="2"/>
    <x v="5"/>
    <x v="1"/>
    <n v="5.35"/>
    <n v="5.35"/>
  </r>
  <r>
    <n v="1165"/>
    <x v="111"/>
    <x v="148"/>
    <x v="2"/>
    <x v="0"/>
    <x v="1"/>
    <x v="1"/>
    <x v="1"/>
    <x v="2"/>
    <n v="3.47"/>
    <n v="10.41"/>
  </r>
  <r>
    <n v="1166"/>
    <x v="112"/>
    <x v="149"/>
    <x v="1"/>
    <x v="0"/>
    <x v="2"/>
    <x v="2"/>
    <x v="2"/>
    <x v="2"/>
    <n v="4.5199999999999996"/>
    <n v="13.56"/>
  </r>
  <r>
    <n v="1167"/>
    <x v="113"/>
    <x v="150"/>
    <x v="5"/>
    <x v="3"/>
    <x v="1"/>
    <x v="1"/>
    <x v="1"/>
    <x v="2"/>
    <n v="2.7"/>
    <n v="8.1"/>
  </r>
  <r>
    <n v="1168"/>
    <x v="44"/>
    <x v="151"/>
    <x v="1"/>
    <x v="1"/>
    <x v="0"/>
    <x v="3"/>
    <x v="10"/>
    <x v="1"/>
    <n v="4.41"/>
    <n v="4.41"/>
  </r>
  <r>
    <n v="1169"/>
    <x v="114"/>
    <x v="152"/>
    <x v="4"/>
    <x v="2"/>
    <x v="0"/>
    <x v="0"/>
    <x v="0"/>
    <x v="2"/>
    <n v="4.8499999999999996"/>
    <n v="14.55"/>
  </r>
  <r>
    <n v="1170"/>
    <x v="115"/>
    <x v="153"/>
    <x v="5"/>
    <x v="4"/>
    <x v="2"/>
    <x v="3"/>
    <x v="7"/>
    <x v="1"/>
    <n v="5.09"/>
    <n v="5.09"/>
  </r>
  <r>
    <n v="1171"/>
    <x v="116"/>
    <x v="154"/>
    <x v="4"/>
    <x v="6"/>
    <x v="0"/>
    <x v="3"/>
    <x v="9"/>
    <x v="0"/>
    <n v="2.7"/>
    <n v="10.8"/>
  </r>
  <r>
    <n v="1172"/>
    <x v="106"/>
    <x v="155"/>
    <x v="2"/>
    <x v="1"/>
    <x v="1"/>
    <x v="0"/>
    <x v="0"/>
    <x v="0"/>
    <n v="3.37"/>
    <n v="13.48"/>
  </r>
  <r>
    <n v="1173"/>
    <x v="117"/>
    <x v="156"/>
    <x v="5"/>
    <x v="4"/>
    <x v="1"/>
    <x v="2"/>
    <x v="4"/>
    <x v="3"/>
    <n v="2.89"/>
    <n v="5.78"/>
  </r>
  <r>
    <n v="1174"/>
    <x v="74"/>
    <x v="157"/>
    <x v="3"/>
    <x v="5"/>
    <x v="2"/>
    <x v="0"/>
    <x v="0"/>
    <x v="1"/>
    <n v="4.93"/>
    <n v="4.93"/>
  </r>
  <r>
    <n v="1175"/>
    <x v="4"/>
    <x v="62"/>
    <x v="3"/>
    <x v="4"/>
    <x v="2"/>
    <x v="2"/>
    <x v="5"/>
    <x v="3"/>
    <n v="3.76"/>
    <n v="7.52"/>
  </r>
  <r>
    <n v="1176"/>
    <x v="89"/>
    <x v="158"/>
    <x v="5"/>
    <x v="1"/>
    <x v="0"/>
    <x v="1"/>
    <x v="1"/>
    <x v="0"/>
    <n v="5"/>
    <n v="20"/>
  </r>
  <r>
    <n v="1177"/>
    <x v="118"/>
    <x v="159"/>
    <x v="1"/>
    <x v="4"/>
    <x v="2"/>
    <x v="2"/>
    <x v="5"/>
    <x v="1"/>
    <n v="4.5199999999999996"/>
    <n v="4.5199999999999996"/>
  </r>
  <r>
    <n v="1178"/>
    <x v="119"/>
    <x v="160"/>
    <x v="2"/>
    <x v="1"/>
    <x v="1"/>
    <x v="1"/>
    <x v="1"/>
    <x v="0"/>
    <n v="5.42"/>
    <n v="21.68"/>
  </r>
  <r>
    <n v="1179"/>
    <x v="120"/>
    <x v="31"/>
    <x v="0"/>
    <x v="5"/>
    <x v="0"/>
    <x v="1"/>
    <x v="1"/>
    <x v="3"/>
    <n v="2.92"/>
    <n v="5.84"/>
  </r>
  <r>
    <n v="1180"/>
    <x v="4"/>
    <x v="161"/>
    <x v="3"/>
    <x v="4"/>
    <x v="2"/>
    <x v="2"/>
    <x v="6"/>
    <x v="3"/>
    <n v="3.68"/>
    <n v="7.36"/>
  </r>
  <r>
    <n v="1181"/>
    <x v="121"/>
    <x v="126"/>
    <x v="3"/>
    <x v="2"/>
    <x v="2"/>
    <x v="2"/>
    <x v="6"/>
    <x v="3"/>
    <n v="4.09"/>
    <n v="8.18"/>
  </r>
  <r>
    <n v="1182"/>
    <x v="122"/>
    <x v="162"/>
    <x v="2"/>
    <x v="6"/>
    <x v="2"/>
    <x v="2"/>
    <x v="4"/>
    <x v="0"/>
    <n v="5.52"/>
    <n v="22.08"/>
  </r>
  <r>
    <n v="1183"/>
    <x v="123"/>
    <x v="163"/>
    <x v="1"/>
    <x v="3"/>
    <x v="2"/>
    <x v="3"/>
    <x v="7"/>
    <x v="2"/>
    <n v="2.78"/>
    <n v="8.34"/>
  </r>
  <r>
    <n v="1184"/>
    <x v="70"/>
    <x v="164"/>
    <x v="2"/>
    <x v="6"/>
    <x v="2"/>
    <x v="0"/>
    <x v="3"/>
    <x v="0"/>
    <n v="4.6500000000000004"/>
    <n v="18.600000000000001"/>
  </r>
  <r>
    <n v="1185"/>
    <x v="81"/>
    <x v="165"/>
    <x v="3"/>
    <x v="1"/>
    <x v="0"/>
    <x v="2"/>
    <x v="5"/>
    <x v="1"/>
    <n v="2.4300000000000002"/>
    <n v="2.4300000000000002"/>
  </r>
  <r>
    <n v="1186"/>
    <x v="49"/>
    <x v="166"/>
    <x v="5"/>
    <x v="0"/>
    <x v="1"/>
    <x v="0"/>
    <x v="3"/>
    <x v="3"/>
    <n v="5.13"/>
    <n v="10.26"/>
  </r>
  <r>
    <n v="1187"/>
    <x v="89"/>
    <x v="167"/>
    <x v="5"/>
    <x v="1"/>
    <x v="0"/>
    <x v="1"/>
    <x v="1"/>
    <x v="0"/>
    <n v="4.17"/>
    <n v="16.68"/>
  </r>
  <r>
    <n v="1188"/>
    <x v="124"/>
    <x v="168"/>
    <x v="3"/>
    <x v="0"/>
    <x v="0"/>
    <x v="2"/>
    <x v="4"/>
    <x v="3"/>
    <n v="4.9800000000000004"/>
    <n v="9.9600000000000009"/>
  </r>
  <r>
    <n v="1189"/>
    <x v="35"/>
    <x v="169"/>
    <x v="5"/>
    <x v="0"/>
    <x v="2"/>
    <x v="0"/>
    <x v="8"/>
    <x v="2"/>
    <n v="5.29"/>
    <n v="15.87"/>
  </r>
  <r>
    <n v="1190"/>
    <x v="17"/>
    <x v="170"/>
    <x v="0"/>
    <x v="4"/>
    <x v="1"/>
    <x v="2"/>
    <x v="6"/>
    <x v="4"/>
    <n v="5.19"/>
    <n v="25.95"/>
  </r>
  <r>
    <n v="1191"/>
    <x v="10"/>
    <x v="171"/>
    <x v="3"/>
    <x v="1"/>
    <x v="1"/>
    <x v="2"/>
    <x v="2"/>
    <x v="4"/>
    <n v="2.69"/>
    <n v="13.45"/>
  </r>
  <r>
    <n v="1192"/>
    <x v="54"/>
    <x v="172"/>
    <x v="1"/>
    <x v="0"/>
    <x v="1"/>
    <x v="2"/>
    <x v="6"/>
    <x v="1"/>
    <n v="3.72"/>
    <n v="3.72"/>
  </r>
  <r>
    <n v="1193"/>
    <x v="81"/>
    <x v="163"/>
    <x v="3"/>
    <x v="1"/>
    <x v="0"/>
    <x v="0"/>
    <x v="0"/>
    <x v="2"/>
    <n v="4.05"/>
    <n v="12.15"/>
  </r>
  <r>
    <n v="1194"/>
    <x v="125"/>
    <x v="173"/>
    <x v="1"/>
    <x v="4"/>
    <x v="0"/>
    <x v="3"/>
    <x v="9"/>
    <x v="3"/>
    <n v="3.49"/>
    <n v="6.98"/>
  </r>
  <r>
    <n v="1195"/>
    <x v="42"/>
    <x v="174"/>
    <x v="1"/>
    <x v="0"/>
    <x v="0"/>
    <x v="3"/>
    <x v="7"/>
    <x v="3"/>
    <n v="3.45"/>
    <n v="6.9"/>
  </r>
  <r>
    <n v="1196"/>
    <x v="64"/>
    <x v="66"/>
    <x v="1"/>
    <x v="1"/>
    <x v="1"/>
    <x v="2"/>
    <x v="4"/>
    <x v="1"/>
    <n v="3.63"/>
    <n v="3.63"/>
  </r>
  <r>
    <n v="1197"/>
    <x v="70"/>
    <x v="175"/>
    <x v="2"/>
    <x v="6"/>
    <x v="1"/>
    <x v="2"/>
    <x v="6"/>
    <x v="4"/>
    <n v="4.79"/>
    <n v="23.95"/>
  </r>
  <r>
    <n v="1198"/>
    <x v="15"/>
    <x v="176"/>
    <x v="4"/>
    <x v="4"/>
    <x v="0"/>
    <x v="3"/>
    <x v="9"/>
    <x v="0"/>
    <n v="3.67"/>
    <n v="14.68"/>
  </r>
  <r>
    <n v="1199"/>
    <x v="16"/>
    <x v="177"/>
    <x v="0"/>
    <x v="2"/>
    <x v="1"/>
    <x v="1"/>
    <x v="1"/>
    <x v="2"/>
    <n v="2.0499999999999998"/>
    <n v="6.15"/>
  </r>
  <r>
    <n v="1200"/>
    <x v="126"/>
    <x v="178"/>
    <x v="5"/>
    <x v="5"/>
    <x v="1"/>
    <x v="1"/>
    <x v="1"/>
    <x v="3"/>
    <n v="5.0199999999999996"/>
    <n v="10.039999999999999"/>
  </r>
  <r>
    <n v="1201"/>
    <x v="127"/>
    <x v="179"/>
    <x v="0"/>
    <x v="0"/>
    <x v="0"/>
    <x v="2"/>
    <x v="2"/>
    <x v="4"/>
    <n v="5.15"/>
    <n v="25.75"/>
  </r>
  <r>
    <n v="1202"/>
    <x v="128"/>
    <x v="180"/>
    <x v="5"/>
    <x v="5"/>
    <x v="2"/>
    <x v="2"/>
    <x v="5"/>
    <x v="1"/>
    <n v="3.16"/>
    <n v="3.16"/>
  </r>
  <r>
    <n v="1203"/>
    <x v="34"/>
    <x v="181"/>
    <x v="1"/>
    <x v="5"/>
    <x v="1"/>
    <x v="1"/>
    <x v="1"/>
    <x v="3"/>
    <n v="3.97"/>
    <n v="7.94"/>
  </r>
  <r>
    <n v="1204"/>
    <x v="128"/>
    <x v="109"/>
    <x v="5"/>
    <x v="5"/>
    <x v="0"/>
    <x v="0"/>
    <x v="0"/>
    <x v="0"/>
    <n v="4.72"/>
    <n v="18.88"/>
  </r>
  <r>
    <n v="1205"/>
    <x v="129"/>
    <x v="182"/>
    <x v="4"/>
    <x v="2"/>
    <x v="0"/>
    <x v="0"/>
    <x v="8"/>
    <x v="3"/>
    <n v="5.24"/>
    <n v="10.48"/>
  </r>
  <r>
    <n v="1206"/>
    <x v="130"/>
    <x v="183"/>
    <x v="3"/>
    <x v="4"/>
    <x v="2"/>
    <x v="2"/>
    <x v="6"/>
    <x v="4"/>
    <n v="4.08"/>
    <n v="20.399999999999999"/>
  </r>
  <r>
    <n v="1207"/>
    <x v="47"/>
    <x v="184"/>
    <x v="2"/>
    <x v="5"/>
    <x v="1"/>
    <x v="3"/>
    <x v="9"/>
    <x v="1"/>
    <n v="5.19"/>
    <n v="5.19"/>
  </r>
  <r>
    <n v="1208"/>
    <x v="131"/>
    <x v="185"/>
    <x v="3"/>
    <x v="4"/>
    <x v="1"/>
    <x v="3"/>
    <x v="10"/>
    <x v="2"/>
    <n v="4.99"/>
    <n v="14.97"/>
  </r>
  <r>
    <n v="1209"/>
    <x v="13"/>
    <x v="118"/>
    <x v="2"/>
    <x v="4"/>
    <x v="0"/>
    <x v="2"/>
    <x v="2"/>
    <x v="1"/>
    <n v="2.82"/>
    <n v="2.82"/>
  </r>
  <r>
    <n v="1210"/>
    <x v="14"/>
    <x v="186"/>
    <x v="5"/>
    <x v="4"/>
    <x v="0"/>
    <x v="1"/>
    <x v="1"/>
    <x v="4"/>
    <n v="2.0099999999999998"/>
    <n v="10.050000000000001"/>
  </r>
  <r>
    <n v="1211"/>
    <x v="121"/>
    <x v="111"/>
    <x v="3"/>
    <x v="2"/>
    <x v="0"/>
    <x v="2"/>
    <x v="5"/>
    <x v="0"/>
    <n v="2.46"/>
    <n v="9.84"/>
  </r>
  <r>
    <n v="1212"/>
    <x v="97"/>
    <x v="187"/>
    <x v="2"/>
    <x v="4"/>
    <x v="2"/>
    <x v="0"/>
    <x v="3"/>
    <x v="4"/>
    <n v="2.19"/>
    <n v="10.95"/>
  </r>
  <r>
    <n v="1213"/>
    <x v="0"/>
    <x v="188"/>
    <x v="0"/>
    <x v="0"/>
    <x v="0"/>
    <x v="2"/>
    <x v="6"/>
    <x v="2"/>
    <n v="3.21"/>
    <n v="9.6300000000000008"/>
  </r>
  <r>
    <n v="1214"/>
    <x v="132"/>
    <x v="189"/>
    <x v="1"/>
    <x v="3"/>
    <x v="0"/>
    <x v="0"/>
    <x v="8"/>
    <x v="3"/>
    <n v="5.71"/>
    <n v="11.42"/>
  </r>
  <r>
    <n v="1215"/>
    <x v="3"/>
    <x v="190"/>
    <x v="2"/>
    <x v="3"/>
    <x v="2"/>
    <x v="0"/>
    <x v="0"/>
    <x v="4"/>
    <n v="4.04"/>
    <n v="20.2"/>
  </r>
  <r>
    <n v="1216"/>
    <x v="133"/>
    <x v="191"/>
    <x v="3"/>
    <x v="5"/>
    <x v="2"/>
    <x v="3"/>
    <x v="10"/>
    <x v="4"/>
    <n v="3.05"/>
    <n v="15.25"/>
  </r>
  <r>
    <n v="1217"/>
    <x v="134"/>
    <x v="26"/>
    <x v="3"/>
    <x v="2"/>
    <x v="1"/>
    <x v="3"/>
    <x v="10"/>
    <x v="4"/>
    <n v="5.61"/>
    <n v="28.05"/>
  </r>
  <r>
    <n v="1218"/>
    <x v="85"/>
    <x v="192"/>
    <x v="4"/>
    <x v="5"/>
    <x v="0"/>
    <x v="2"/>
    <x v="5"/>
    <x v="3"/>
    <n v="5.76"/>
    <n v="11.52"/>
  </r>
  <r>
    <n v="1219"/>
    <x v="54"/>
    <x v="193"/>
    <x v="1"/>
    <x v="0"/>
    <x v="2"/>
    <x v="2"/>
    <x v="2"/>
    <x v="2"/>
    <n v="2.86"/>
    <n v="8.58"/>
  </r>
  <r>
    <n v="1220"/>
    <x v="135"/>
    <x v="26"/>
    <x v="0"/>
    <x v="1"/>
    <x v="0"/>
    <x v="1"/>
    <x v="1"/>
    <x v="2"/>
    <n v="3.89"/>
    <n v="11.67"/>
  </r>
  <r>
    <n v="1221"/>
    <x v="112"/>
    <x v="28"/>
    <x v="1"/>
    <x v="0"/>
    <x v="1"/>
    <x v="2"/>
    <x v="2"/>
    <x v="0"/>
    <n v="4.4000000000000004"/>
    <n v="17.600000000000001"/>
  </r>
  <r>
    <n v="1222"/>
    <x v="136"/>
    <x v="194"/>
    <x v="4"/>
    <x v="3"/>
    <x v="1"/>
    <x v="0"/>
    <x v="0"/>
    <x v="2"/>
    <n v="2.4500000000000002"/>
    <n v="7.35"/>
  </r>
  <r>
    <n v="1223"/>
    <x v="111"/>
    <x v="195"/>
    <x v="2"/>
    <x v="0"/>
    <x v="1"/>
    <x v="0"/>
    <x v="3"/>
    <x v="3"/>
    <n v="2.82"/>
    <n v="5.64"/>
  </r>
  <r>
    <n v="1224"/>
    <x v="82"/>
    <x v="153"/>
    <x v="0"/>
    <x v="3"/>
    <x v="0"/>
    <x v="0"/>
    <x v="8"/>
    <x v="4"/>
    <n v="4.5599999999999996"/>
    <n v="22.8"/>
  </r>
  <r>
    <n v="1225"/>
    <x v="137"/>
    <x v="196"/>
    <x v="4"/>
    <x v="1"/>
    <x v="1"/>
    <x v="0"/>
    <x v="0"/>
    <x v="1"/>
    <n v="5.55"/>
    <n v="5.55"/>
  </r>
  <r>
    <n v="1226"/>
    <x v="111"/>
    <x v="197"/>
    <x v="2"/>
    <x v="0"/>
    <x v="2"/>
    <x v="0"/>
    <x v="3"/>
    <x v="0"/>
    <n v="4.41"/>
    <n v="17.64"/>
  </r>
  <r>
    <n v="1227"/>
    <x v="51"/>
    <x v="82"/>
    <x v="1"/>
    <x v="3"/>
    <x v="0"/>
    <x v="1"/>
    <x v="1"/>
    <x v="2"/>
    <n v="5.25"/>
    <n v="15.75"/>
  </r>
  <r>
    <n v="1228"/>
    <x v="138"/>
    <x v="198"/>
    <x v="5"/>
    <x v="3"/>
    <x v="2"/>
    <x v="0"/>
    <x v="0"/>
    <x v="4"/>
    <n v="3.6"/>
    <n v="18"/>
  </r>
  <r>
    <n v="1229"/>
    <x v="62"/>
    <x v="199"/>
    <x v="5"/>
    <x v="5"/>
    <x v="2"/>
    <x v="2"/>
    <x v="6"/>
    <x v="4"/>
    <n v="4.09"/>
    <n v="20.45"/>
  </r>
  <r>
    <n v="1230"/>
    <x v="35"/>
    <x v="198"/>
    <x v="5"/>
    <x v="0"/>
    <x v="0"/>
    <x v="3"/>
    <x v="10"/>
    <x v="4"/>
    <n v="3.07"/>
    <n v="15.35"/>
  </r>
  <r>
    <n v="1231"/>
    <x v="86"/>
    <x v="200"/>
    <x v="2"/>
    <x v="5"/>
    <x v="2"/>
    <x v="0"/>
    <x v="8"/>
    <x v="1"/>
    <n v="4.71"/>
    <n v="4.71"/>
  </r>
  <r>
    <n v="1232"/>
    <x v="24"/>
    <x v="201"/>
    <x v="4"/>
    <x v="4"/>
    <x v="2"/>
    <x v="0"/>
    <x v="3"/>
    <x v="2"/>
    <n v="5.96"/>
    <n v="17.88"/>
  </r>
  <r>
    <n v="1233"/>
    <x v="34"/>
    <x v="100"/>
    <x v="1"/>
    <x v="5"/>
    <x v="0"/>
    <x v="3"/>
    <x v="9"/>
    <x v="2"/>
    <n v="4.55"/>
    <n v="13.65"/>
  </r>
  <r>
    <n v="1234"/>
    <x v="92"/>
    <x v="202"/>
    <x v="5"/>
    <x v="6"/>
    <x v="2"/>
    <x v="0"/>
    <x v="0"/>
    <x v="0"/>
    <n v="3.89"/>
    <n v="15.56"/>
  </r>
  <r>
    <n v="1235"/>
    <x v="139"/>
    <x v="203"/>
    <x v="4"/>
    <x v="0"/>
    <x v="2"/>
    <x v="2"/>
    <x v="6"/>
    <x v="2"/>
    <n v="4.57"/>
    <n v="13.71"/>
  </r>
  <r>
    <n v="1236"/>
    <x v="139"/>
    <x v="51"/>
    <x v="4"/>
    <x v="0"/>
    <x v="0"/>
    <x v="0"/>
    <x v="8"/>
    <x v="3"/>
    <n v="3.9"/>
    <n v="7.8"/>
  </r>
  <r>
    <n v="1237"/>
    <x v="121"/>
    <x v="204"/>
    <x v="3"/>
    <x v="2"/>
    <x v="2"/>
    <x v="0"/>
    <x v="8"/>
    <x v="4"/>
    <n v="2.11"/>
    <n v="10.55"/>
  </r>
  <r>
    <n v="1238"/>
    <x v="140"/>
    <x v="205"/>
    <x v="3"/>
    <x v="1"/>
    <x v="0"/>
    <x v="0"/>
    <x v="8"/>
    <x v="4"/>
    <n v="2.21"/>
    <n v="11.05"/>
  </r>
  <r>
    <n v="1239"/>
    <x v="45"/>
    <x v="206"/>
    <x v="1"/>
    <x v="4"/>
    <x v="1"/>
    <x v="3"/>
    <x v="7"/>
    <x v="1"/>
    <n v="5.0999999999999996"/>
    <n v="5.0999999999999996"/>
  </r>
  <r>
    <n v="1240"/>
    <x v="104"/>
    <x v="207"/>
    <x v="3"/>
    <x v="2"/>
    <x v="2"/>
    <x v="3"/>
    <x v="7"/>
    <x v="1"/>
    <n v="2.39"/>
    <n v="2.39"/>
  </r>
  <r>
    <n v="1241"/>
    <x v="27"/>
    <x v="208"/>
    <x v="1"/>
    <x v="6"/>
    <x v="2"/>
    <x v="3"/>
    <x v="10"/>
    <x v="2"/>
    <n v="3.1"/>
    <n v="9.3000000000000007"/>
  </r>
  <r>
    <n v="1242"/>
    <x v="2"/>
    <x v="160"/>
    <x v="1"/>
    <x v="2"/>
    <x v="2"/>
    <x v="0"/>
    <x v="8"/>
    <x v="4"/>
    <n v="3.78"/>
    <n v="18.899999999999999"/>
  </r>
  <r>
    <n v="1243"/>
    <x v="13"/>
    <x v="209"/>
    <x v="2"/>
    <x v="4"/>
    <x v="0"/>
    <x v="0"/>
    <x v="3"/>
    <x v="4"/>
    <n v="3.89"/>
    <n v="19.45"/>
  </r>
  <r>
    <n v="1244"/>
    <x v="37"/>
    <x v="210"/>
    <x v="1"/>
    <x v="2"/>
    <x v="2"/>
    <x v="3"/>
    <x v="7"/>
    <x v="1"/>
    <n v="5.56"/>
    <n v="5.56"/>
  </r>
  <r>
    <n v="1245"/>
    <x v="128"/>
    <x v="211"/>
    <x v="5"/>
    <x v="5"/>
    <x v="2"/>
    <x v="0"/>
    <x v="3"/>
    <x v="1"/>
    <n v="2.48"/>
    <n v="2.48"/>
  </r>
  <r>
    <n v="1246"/>
    <x v="99"/>
    <x v="212"/>
    <x v="2"/>
    <x v="5"/>
    <x v="0"/>
    <x v="1"/>
    <x v="1"/>
    <x v="2"/>
    <n v="5.59"/>
    <n v="16.77"/>
  </r>
  <r>
    <n v="1247"/>
    <x v="4"/>
    <x v="213"/>
    <x v="3"/>
    <x v="4"/>
    <x v="1"/>
    <x v="1"/>
    <x v="1"/>
    <x v="4"/>
    <n v="4.5199999999999996"/>
    <n v="22.6"/>
  </r>
  <r>
    <n v="1248"/>
    <x v="25"/>
    <x v="134"/>
    <x v="1"/>
    <x v="5"/>
    <x v="1"/>
    <x v="2"/>
    <x v="6"/>
    <x v="1"/>
    <n v="2.4"/>
    <n v="2.4"/>
  </r>
  <r>
    <n v="1249"/>
    <x v="131"/>
    <x v="214"/>
    <x v="3"/>
    <x v="4"/>
    <x v="2"/>
    <x v="0"/>
    <x v="8"/>
    <x v="1"/>
    <n v="3.55"/>
    <n v="3.55"/>
  </r>
  <r>
    <n v="1250"/>
    <x v="85"/>
    <x v="215"/>
    <x v="4"/>
    <x v="5"/>
    <x v="2"/>
    <x v="3"/>
    <x v="7"/>
    <x v="4"/>
    <n v="3.79"/>
    <n v="18.95"/>
  </r>
  <r>
    <n v="1251"/>
    <x v="33"/>
    <x v="179"/>
    <x v="3"/>
    <x v="6"/>
    <x v="2"/>
    <x v="0"/>
    <x v="0"/>
    <x v="2"/>
    <n v="3.72"/>
    <n v="11.16"/>
  </r>
  <r>
    <n v="1252"/>
    <x v="136"/>
    <x v="216"/>
    <x v="4"/>
    <x v="3"/>
    <x v="1"/>
    <x v="0"/>
    <x v="3"/>
    <x v="3"/>
    <n v="2.9"/>
    <n v="5.8"/>
  </r>
  <r>
    <n v="1253"/>
    <x v="136"/>
    <x v="124"/>
    <x v="4"/>
    <x v="3"/>
    <x v="1"/>
    <x v="1"/>
    <x v="1"/>
    <x v="4"/>
    <n v="3"/>
    <n v="15"/>
  </r>
  <r>
    <n v="1254"/>
    <x v="81"/>
    <x v="217"/>
    <x v="3"/>
    <x v="1"/>
    <x v="0"/>
    <x v="1"/>
    <x v="1"/>
    <x v="2"/>
    <n v="5.81"/>
    <n v="17.43"/>
  </r>
  <r>
    <n v="1255"/>
    <x v="12"/>
    <x v="218"/>
    <x v="2"/>
    <x v="4"/>
    <x v="0"/>
    <x v="2"/>
    <x v="4"/>
    <x v="1"/>
    <n v="4.9000000000000004"/>
    <n v="4.9000000000000004"/>
  </r>
  <r>
    <n v="1256"/>
    <x v="27"/>
    <x v="219"/>
    <x v="1"/>
    <x v="6"/>
    <x v="1"/>
    <x v="1"/>
    <x v="1"/>
    <x v="1"/>
    <n v="4.66"/>
    <n v="4.66"/>
  </r>
  <r>
    <n v="1257"/>
    <x v="100"/>
    <x v="220"/>
    <x v="1"/>
    <x v="6"/>
    <x v="1"/>
    <x v="2"/>
    <x v="6"/>
    <x v="1"/>
    <n v="4.6100000000000003"/>
    <n v="4.6100000000000003"/>
  </r>
  <r>
    <n v="1258"/>
    <x v="27"/>
    <x v="197"/>
    <x v="1"/>
    <x v="6"/>
    <x v="2"/>
    <x v="2"/>
    <x v="5"/>
    <x v="3"/>
    <n v="3.02"/>
    <n v="6.04"/>
  </r>
  <r>
    <n v="1259"/>
    <x v="40"/>
    <x v="221"/>
    <x v="2"/>
    <x v="5"/>
    <x v="0"/>
    <x v="2"/>
    <x v="2"/>
    <x v="4"/>
    <n v="2.58"/>
    <n v="12.9"/>
  </r>
  <r>
    <n v="1260"/>
    <x v="64"/>
    <x v="66"/>
    <x v="1"/>
    <x v="1"/>
    <x v="2"/>
    <x v="3"/>
    <x v="7"/>
    <x v="1"/>
    <n v="4.2"/>
    <n v="4.2"/>
  </r>
  <r>
    <n v="1261"/>
    <x v="75"/>
    <x v="222"/>
    <x v="2"/>
    <x v="2"/>
    <x v="1"/>
    <x v="1"/>
    <x v="1"/>
    <x v="0"/>
    <n v="5.75"/>
    <n v="23"/>
  </r>
  <r>
    <n v="1262"/>
    <x v="123"/>
    <x v="223"/>
    <x v="1"/>
    <x v="3"/>
    <x v="2"/>
    <x v="2"/>
    <x v="2"/>
    <x v="1"/>
    <n v="2.56"/>
    <n v="2.56"/>
  </r>
  <r>
    <n v="1263"/>
    <x v="49"/>
    <x v="224"/>
    <x v="5"/>
    <x v="0"/>
    <x v="1"/>
    <x v="0"/>
    <x v="8"/>
    <x v="0"/>
    <n v="3.16"/>
    <n v="12.64"/>
  </r>
  <r>
    <n v="1264"/>
    <x v="111"/>
    <x v="114"/>
    <x v="2"/>
    <x v="0"/>
    <x v="2"/>
    <x v="1"/>
    <x v="1"/>
    <x v="1"/>
    <n v="5.88"/>
    <n v="5.88"/>
  </r>
  <r>
    <n v="1265"/>
    <x v="130"/>
    <x v="84"/>
    <x v="3"/>
    <x v="4"/>
    <x v="0"/>
    <x v="3"/>
    <x v="7"/>
    <x v="1"/>
    <n v="2.06"/>
    <n v="2.06"/>
  </r>
  <r>
    <n v="1266"/>
    <x v="84"/>
    <x v="225"/>
    <x v="5"/>
    <x v="6"/>
    <x v="2"/>
    <x v="3"/>
    <x v="7"/>
    <x v="0"/>
    <n v="4.9000000000000004"/>
    <n v="19.600000000000001"/>
  </r>
  <r>
    <n v="1267"/>
    <x v="74"/>
    <x v="137"/>
    <x v="3"/>
    <x v="5"/>
    <x v="1"/>
    <x v="2"/>
    <x v="2"/>
    <x v="4"/>
    <n v="2.59"/>
    <n v="12.95"/>
  </r>
  <r>
    <n v="1268"/>
    <x v="141"/>
    <x v="226"/>
    <x v="3"/>
    <x v="4"/>
    <x v="2"/>
    <x v="0"/>
    <x v="3"/>
    <x v="4"/>
    <n v="5.12"/>
    <n v="25.6"/>
  </r>
  <r>
    <n v="1269"/>
    <x v="41"/>
    <x v="17"/>
    <x v="5"/>
    <x v="0"/>
    <x v="2"/>
    <x v="1"/>
    <x v="1"/>
    <x v="2"/>
    <n v="4.8600000000000003"/>
    <n v="14.58"/>
  </r>
  <r>
    <n v="1270"/>
    <x v="0"/>
    <x v="227"/>
    <x v="0"/>
    <x v="0"/>
    <x v="0"/>
    <x v="0"/>
    <x v="8"/>
    <x v="1"/>
    <n v="4.1900000000000004"/>
    <n v="4.1900000000000004"/>
  </r>
  <r>
    <n v="1271"/>
    <x v="65"/>
    <x v="228"/>
    <x v="5"/>
    <x v="3"/>
    <x v="1"/>
    <x v="0"/>
    <x v="3"/>
    <x v="4"/>
    <n v="4.1100000000000003"/>
    <n v="20.55"/>
  </r>
  <r>
    <n v="1272"/>
    <x v="89"/>
    <x v="229"/>
    <x v="5"/>
    <x v="1"/>
    <x v="0"/>
    <x v="0"/>
    <x v="0"/>
    <x v="0"/>
    <n v="3.35"/>
    <n v="13.4"/>
  </r>
  <r>
    <n v="1273"/>
    <x v="79"/>
    <x v="230"/>
    <x v="0"/>
    <x v="1"/>
    <x v="1"/>
    <x v="2"/>
    <x v="6"/>
    <x v="3"/>
    <n v="2.99"/>
    <n v="5.98"/>
  </r>
  <r>
    <n v="1274"/>
    <x v="142"/>
    <x v="231"/>
    <x v="5"/>
    <x v="3"/>
    <x v="1"/>
    <x v="0"/>
    <x v="8"/>
    <x v="2"/>
    <n v="4.0999999999999996"/>
    <n v="12.3"/>
  </r>
  <r>
    <n v="1275"/>
    <x v="59"/>
    <x v="232"/>
    <x v="5"/>
    <x v="6"/>
    <x v="0"/>
    <x v="1"/>
    <x v="1"/>
    <x v="1"/>
    <n v="4.74"/>
    <n v="4.74"/>
  </r>
  <r>
    <n v="1276"/>
    <x v="143"/>
    <x v="226"/>
    <x v="4"/>
    <x v="0"/>
    <x v="2"/>
    <x v="2"/>
    <x v="4"/>
    <x v="4"/>
    <n v="3.16"/>
    <n v="15.8"/>
  </r>
  <r>
    <n v="1277"/>
    <x v="71"/>
    <x v="233"/>
    <x v="0"/>
    <x v="6"/>
    <x v="0"/>
    <x v="2"/>
    <x v="6"/>
    <x v="0"/>
    <n v="2.11"/>
    <n v="8.44"/>
  </r>
  <r>
    <n v="1278"/>
    <x v="131"/>
    <x v="234"/>
    <x v="3"/>
    <x v="4"/>
    <x v="2"/>
    <x v="2"/>
    <x v="2"/>
    <x v="3"/>
    <n v="2.34"/>
    <n v="4.68"/>
  </r>
  <r>
    <n v="1279"/>
    <x v="54"/>
    <x v="235"/>
    <x v="1"/>
    <x v="0"/>
    <x v="2"/>
    <x v="0"/>
    <x v="0"/>
    <x v="0"/>
    <n v="4.84"/>
    <n v="19.36"/>
  </r>
  <r>
    <n v="1280"/>
    <x v="144"/>
    <x v="236"/>
    <x v="0"/>
    <x v="5"/>
    <x v="2"/>
    <x v="3"/>
    <x v="7"/>
    <x v="2"/>
    <n v="5.81"/>
    <n v="17.43"/>
  </r>
  <r>
    <n v="1281"/>
    <x v="141"/>
    <x v="237"/>
    <x v="3"/>
    <x v="4"/>
    <x v="1"/>
    <x v="3"/>
    <x v="9"/>
    <x v="3"/>
    <n v="4.63"/>
    <n v="9.26"/>
  </r>
  <r>
    <n v="1282"/>
    <x v="125"/>
    <x v="96"/>
    <x v="1"/>
    <x v="4"/>
    <x v="0"/>
    <x v="0"/>
    <x v="0"/>
    <x v="1"/>
    <n v="2.4500000000000002"/>
    <n v="2.4500000000000002"/>
  </r>
  <r>
    <n v="1283"/>
    <x v="97"/>
    <x v="90"/>
    <x v="2"/>
    <x v="4"/>
    <x v="1"/>
    <x v="2"/>
    <x v="5"/>
    <x v="2"/>
    <n v="4.66"/>
    <n v="13.98"/>
  </r>
  <r>
    <n v="1284"/>
    <x v="135"/>
    <x v="238"/>
    <x v="0"/>
    <x v="1"/>
    <x v="0"/>
    <x v="0"/>
    <x v="3"/>
    <x v="4"/>
    <n v="2.59"/>
    <n v="12.95"/>
  </r>
  <r>
    <n v="1285"/>
    <x v="112"/>
    <x v="239"/>
    <x v="1"/>
    <x v="0"/>
    <x v="2"/>
    <x v="3"/>
    <x v="10"/>
    <x v="0"/>
    <n v="4.24"/>
    <n v="16.96"/>
  </r>
  <r>
    <n v="1286"/>
    <x v="135"/>
    <x v="240"/>
    <x v="0"/>
    <x v="1"/>
    <x v="1"/>
    <x v="3"/>
    <x v="10"/>
    <x v="2"/>
    <n v="4.5999999999999996"/>
    <n v="13.8"/>
  </r>
  <r>
    <n v="1287"/>
    <x v="145"/>
    <x v="68"/>
    <x v="0"/>
    <x v="1"/>
    <x v="2"/>
    <x v="3"/>
    <x v="7"/>
    <x v="2"/>
    <n v="4.6900000000000004"/>
    <n v="14.07"/>
  </r>
  <r>
    <n v="1288"/>
    <x v="102"/>
    <x v="74"/>
    <x v="2"/>
    <x v="6"/>
    <x v="2"/>
    <x v="2"/>
    <x v="2"/>
    <x v="1"/>
    <n v="2.72"/>
    <n v="2.72"/>
  </r>
  <r>
    <n v="1289"/>
    <x v="87"/>
    <x v="241"/>
    <x v="4"/>
    <x v="6"/>
    <x v="2"/>
    <x v="1"/>
    <x v="1"/>
    <x v="3"/>
    <n v="4.26"/>
    <n v="8.52"/>
  </r>
  <r>
    <n v="1290"/>
    <x v="116"/>
    <x v="242"/>
    <x v="4"/>
    <x v="6"/>
    <x v="1"/>
    <x v="0"/>
    <x v="3"/>
    <x v="4"/>
    <n v="4.43"/>
    <n v="22.15"/>
  </r>
  <r>
    <n v="1291"/>
    <x v="145"/>
    <x v="243"/>
    <x v="0"/>
    <x v="1"/>
    <x v="2"/>
    <x v="1"/>
    <x v="1"/>
    <x v="4"/>
    <n v="4.68"/>
    <n v="23.4"/>
  </r>
  <r>
    <n v="1292"/>
    <x v="80"/>
    <x v="244"/>
    <x v="3"/>
    <x v="1"/>
    <x v="2"/>
    <x v="2"/>
    <x v="6"/>
    <x v="3"/>
    <n v="3.91"/>
    <n v="7.82"/>
  </r>
  <r>
    <n v="1293"/>
    <x v="111"/>
    <x v="245"/>
    <x v="2"/>
    <x v="0"/>
    <x v="0"/>
    <x v="2"/>
    <x v="2"/>
    <x v="1"/>
    <n v="3.67"/>
    <n v="3.67"/>
  </r>
  <r>
    <n v="1294"/>
    <x v="12"/>
    <x v="246"/>
    <x v="2"/>
    <x v="4"/>
    <x v="2"/>
    <x v="0"/>
    <x v="8"/>
    <x v="4"/>
    <n v="5.87"/>
    <n v="29.35"/>
  </r>
  <r>
    <n v="1295"/>
    <x v="45"/>
    <x v="247"/>
    <x v="1"/>
    <x v="4"/>
    <x v="0"/>
    <x v="0"/>
    <x v="8"/>
    <x v="1"/>
    <n v="2.16"/>
    <n v="2.16"/>
  </r>
  <r>
    <n v="1296"/>
    <x v="8"/>
    <x v="248"/>
    <x v="3"/>
    <x v="5"/>
    <x v="0"/>
    <x v="0"/>
    <x v="0"/>
    <x v="1"/>
    <n v="4.6399999999999997"/>
    <n v="4.6399999999999997"/>
  </r>
  <r>
    <n v="1297"/>
    <x v="110"/>
    <x v="249"/>
    <x v="0"/>
    <x v="6"/>
    <x v="2"/>
    <x v="2"/>
    <x v="5"/>
    <x v="4"/>
    <n v="3.87"/>
    <n v="19.350000000000001"/>
  </r>
  <r>
    <n v="1298"/>
    <x v="59"/>
    <x v="250"/>
    <x v="5"/>
    <x v="6"/>
    <x v="1"/>
    <x v="3"/>
    <x v="7"/>
    <x v="0"/>
    <n v="5.66"/>
    <n v="22.64"/>
  </r>
  <r>
    <n v="1299"/>
    <x v="73"/>
    <x v="251"/>
    <x v="4"/>
    <x v="5"/>
    <x v="2"/>
    <x v="0"/>
    <x v="8"/>
    <x v="3"/>
    <n v="3.98"/>
    <n v="7.96"/>
  </r>
  <r>
    <n v="1300"/>
    <x v="38"/>
    <x v="252"/>
    <x v="4"/>
    <x v="2"/>
    <x v="0"/>
    <x v="3"/>
    <x v="9"/>
    <x v="4"/>
    <n v="5.19"/>
    <n v="25.95"/>
  </r>
  <r>
    <n v="1301"/>
    <x v="39"/>
    <x v="253"/>
    <x v="2"/>
    <x v="1"/>
    <x v="0"/>
    <x v="0"/>
    <x v="0"/>
    <x v="1"/>
    <n v="5.3"/>
    <n v="5.3"/>
  </r>
  <r>
    <n v="1302"/>
    <x v="130"/>
    <x v="254"/>
    <x v="3"/>
    <x v="4"/>
    <x v="1"/>
    <x v="2"/>
    <x v="4"/>
    <x v="2"/>
    <n v="5.13"/>
    <n v="15.39"/>
  </r>
  <r>
    <n v="1303"/>
    <x v="10"/>
    <x v="89"/>
    <x v="3"/>
    <x v="1"/>
    <x v="2"/>
    <x v="3"/>
    <x v="9"/>
    <x v="2"/>
    <n v="4.51"/>
    <n v="13.53"/>
  </r>
  <r>
    <n v="1304"/>
    <x v="146"/>
    <x v="255"/>
    <x v="4"/>
    <x v="6"/>
    <x v="1"/>
    <x v="2"/>
    <x v="4"/>
    <x v="2"/>
    <n v="4.5199999999999996"/>
    <n v="13.56"/>
  </r>
  <r>
    <n v="1305"/>
    <x v="104"/>
    <x v="202"/>
    <x v="3"/>
    <x v="2"/>
    <x v="1"/>
    <x v="0"/>
    <x v="3"/>
    <x v="2"/>
    <n v="4.07"/>
    <n v="12.21"/>
  </r>
  <r>
    <n v="1306"/>
    <x v="52"/>
    <x v="79"/>
    <x v="0"/>
    <x v="3"/>
    <x v="1"/>
    <x v="0"/>
    <x v="8"/>
    <x v="1"/>
    <n v="2.92"/>
    <n v="2.92"/>
  </r>
  <r>
    <n v="1307"/>
    <x v="147"/>
    <x v="256"/>
    <x v="0"/>
    <x v="5"/>
    <x v="1"/>
    <x v="2"/>
    <x v="4"/>
    <x v="3"/>
    <n v="3.66"/>
    <n v="7.32"/>
  </r>
  <r>
    <n v="1308"/>
    <x v="148"/>
    <x v="73"/>
    <x v="3"/>
    <x v="4"/>
    <x v="2"/>
    <x v="2"/>
    <x v="2"/>
    <x v="2"/>
    <n v="3.47"/>
    <n v="10.41"/>
  </r>
  <r>
    <n v="1309"/>
    <x v="128"/>
    <x v="257"/>
    <x v="5"/>
    <x v="5"/>
    <x v="2"/>
    <x v="3"/>
    <x v="10"/>
    <x v="4"/>
    <n v="5.73"/>
    <n v="28.65"/>
  </r>
  <r>
    <n v="1310"/>
    <x v="68"/>
    <x v="258"/>
    <x v="0"/>
    <x v="2"/>
    <x v="1"/>
    <x v="3"/>
    <x v="10"/>
    <x v="2"/>
    <n v="3.42"/>
    <n v="10.26"/>
  </r>
  <r>
    <n v="1311"/>
    <x v="79"/>
    <x v="47"/>
    <x v="0"/>
    <x v="1"/>
    <x v="2"/>
    <x v="0"/>
    <x v="0"/>
    <x v="4"/>
    <n v="4.7"/>
    <n v="23.5"/>
  </r>
  <r>
    <n v="1312"/>
    <x v="143"/>
    <x v="241"/>
    <x v="4"/>
    <x v="0"/>
    <x v="2"/>
    <x v="3"/>
    <x v="7"/>
    <x v="0"/>
    <n v="3.9"/>
    <n v="15.6"/>
  </r>
  <r>
    <n v="1313"/>
    <x v="61"/>
    <x v="259"/>
    <x v="0"/>
    <x v="6"/>
    <x v="1"/>
    <x v="3"/>
    <x v="9"/>
    <x v="2"/>
    <n v="2.4300000000000002"/>
    <n v="7.29"/>
  </r>
  <r>
    <n v="1314"/>
    <x v="119"/>
    <x v="216"/>
    <x v="2"/>
    <x v="1"/>
    <x v="0"/>
    <x v="2"/>
    <x v="4"/>
    <x v="0"/>
    <n v="2.54"/>
    <n v="10.16"/>
  </r>
  <r>
    <n v="1315"/>
    <x v="132"/>
    <x v="260"/>
    <x v="1"/>
    <x v="3"/>
    <x v="2"/>
    <x v="2"/>
    <x v="5"/>
    <x v="3"/>
    <n v="5.18"/>
    <n v="10.36"/>
  </r>
  <r>
    <n v="1316"/>
    <x v="114"/>
    <x v="124"/>
    <x v="4"/>
    <x v="2"/>
    <x v="2"/>
    <x v="1"/>
    <x v="1"/>
    <x v="2"/>
    <n v="3.57"/>
    <n v="10.71"/>
  </r>
  <r>
    <n v="1317"/>
    <x v="101"/>
    <x v="261"/>
    <x v="2"/>
    <x v="3"/>
    <x v="1"/>
    <x v="2"/>
    <x v="2"/>
    <x v="4"/>
    <n v="5.66"/>
    <n v="28.3"/>
  </r>
  <r>
    <n v="1318"/>
    <x v="35"/>
    <x v="262"/>
    <x v="5"/>
    <x v="0"/>
    <x v="2"/>
    <x v="0"/>
    <x v="8"/>
    <x v="1"/>
    <n v="3.61"/>
    <n v="3.61"/>
  </r>
  <r>
    <n v="1319"/>
    <x v="41"/>
    <x v="23"/>
    <x v="5"/>
    <x v="0"/>
    <x v="1"/>
    <x v="0"/>
    <x v="0"/>
    <x v="1"/>
    <n v="2.2599999999999998"/>
    <n v="2.2599999999999998"/>
  </r>
  <r>
    <n v="1320"/>
    <x v="149"/>
    <x v="263"/>
    <x v="1"/>
    <x v="2"/>
    <x v="1"/>
    <x v="1"/>
    <x v="1"/>
    <x v="3"/>
    <n v="4.33"/>
    <n v="8.66"/>
  </r>
  <r>
    <n v="1321"/>
    <x v="31"/>
    <x v="264"/>
    <x v="4"/>
    <x v="4"/>
    <x v="0"/>
    <x v="2"/>
    <x v="5"/>
    <x v="3"/>
    <n v="5.1100000000000003"/>
    <n v="10.220000000000001"/>
  </r>
  <r>
    <n v="1322"/>
    <x v="87"/>
    <x v="265"/>
    <x v="4"/>
    <x v="6"/>
    <x v="0"/>
    <x v="1"/>
    <x v="1"/>
    <x v="2"/>
    <n v="4.03"/>
    <n v="12.09"/>
  </r>
  <r>
    <n v="1323"/>
    <x v="13"/>
    <x v="119"/>
    <x v="2"/>
    <x v="4"/>
    <x v="2"/>
    <x v="3"/>
    <x v="10"/>
    <x v="0"/>
    <n v="4.95"/>
    <n v="19.8"/>
  </r>
  <r>
    <n v="1324"/>
    <x v="112"/>
    <x v="266"/>
    <x v="1"/>
    <x v="0"/>
    <x v="1"/>
    <x v="2"/>
    <x v="2"/>
    <x v="1"/>
    <n v="4.49"/>
    <n v="4.49"/>
  </r>
  <r>
    <n v="1325"/>
    <x v="150"/>
    <x v="41"/>
    <x v="0"/>
    <x v="4"/>
    <x v="1"/>
    <x v="3"/>
    <x v="7"/>
    <x v="3"/>
    <n v="5.1100000000000003"/>
    <n v="10.220000000000001"/>
  </r>
  <r>
    <n v="1326"/>
    <x v="86"/>
    <x v="267"/>
    <x v="2"/>
    <x v="5"/>
    <x v="1"/>
    <x v="0"/>
    <x v="0"/>
    <x v="1"/>
    <n v="2.74"/>
    <n v="2.74"/>
  </r>
  <r>
    <n v="1327"/>
    <x v="71"/>
    <x v="268"/>
    <x v="0"/>
    <x v="6"/>
    <x v="2"/>
    <x v="0"/>
    <x v="0"/>
    <x v="0"/>
    <n v="3.84"/>
    <n v="15.36"/>
  </r>
  <r>
    <n v="1328"/>
    <x v="6"/>
    <x v="269"/>
    <x v="4"/>
    <x v="3"/>
    <x v="2"/>
    <x v="0"/>
    <x v="8"/>
    <x v="1"/>
    <n v="3.59"/>
    <n v="3.59"/>
  </r>
  <r>
    <n v="1329"/>
    <x v="56"/>
    <x v="270"/>
    <x v="2"/>
    <x v="1"/>
    <x v="0"/>
    <x v="3"/>
    <x v="7"/>
    <x v="2"/>
    <n v="2.93"/>
    <n v="8.7899999999999991"/>
  </r>
  <r>
    <n v="1330"/>
    <x v="151"/>
    <x v="29"/>
    <x v="5"/>
    <x v="0"/>
    <x v="1"/>
    <x v="0"/>
    <x v="0"/>
    <x v="2"/>
    <n v="3.78"/>
    <n v="11.34"/>
  </r>
  <r>
    <n v="1331"/>
    <x v="152"/>
    <x v="271"/>
    <x v="4"/>
    <x v="5"/>
    <x v="0"/>
    <x v="2"/>
    <x v="4"/>
    <x v="0"/>
    <n v="2.89"/>
    <n v="11.56"/>
  </r>
  <r>
    <n v="1332"/>
    <x v="8"/>
    <x v="272"/>
    <x v="3"/>
    <x v="5"/>
    <x v="2"/>
    <x v="2"/>
    <x v="4"/>
    <x v="4"/>
    <n v="4.32"/>
    <n v="21.6"/>
  </r>
  <r>
    <n v="1333"/>
    <x v="65"/>
    <x v="273"/>
    <x v="5"/>
    <x v="3"/>
    <x v="2"/>
    <x v="2"/>
    <x v="4"/>
    <x v="3"/>
    <n v="4.6900000000000004"/>
    <n v="9.3800000000000008"/>
  </r>
  <r>
    <n v="1334"/>
    <x v="153"/>
    <x v="274"/>
    <x v="2"/>
    <x v="6"/>
    <x v="2"/>
    <x v="3"/>
    <x v="10"/>
    <x v="3"/>
    <n v="4.9800000000000004"/>
    <n v="9.9600000000000009"/>
  </r>
  <r>
    <n v="1335"/>
    <x v="53"/>
    <x v="275"/>
    <x v="0"/>
    <x v="0"/>
    <x v="2"/>
    <x v="2"/>
    <x v="2"/>
    <x v="4"/>
    <n v="3.84"/>
    <n v="19.2"/>
  </r>
  <r>
    <n v="1336"/>
    <x v="62"/>
    <x v="276"/>
    <x v="5"/>
    <x v="5"/>
    <x v="2"/>
    <x v="3"/>
    <x v="10"/>
    <x v="2"/>
    <n v="3.33"/>
    <n v="9.99"/>
  </r>
  <r>
    <n v="1337"/>
    <x v="64"/>
    <x v="151"/>
    <x v="1"/>
    <x v="1"/>
    <x v="2"/>
    <x v="0"/>
    <x v="8"/>
    <x v="4"/>
    <n v="3.34"/>
    <n v="16.7"/>
  </r>
  <r>
    <n v="1338"/>
    <x v="154"/>
    <x v="277"/>
    <x v="2"/>
    <x v="2"/>
    <x v="1"/>
    <x v="1"/>
    <x v="1"/>
    <x v="2"/>
    <n v="4.6500000000000004"/>
    <n v="13.95"/>
  </r>
  <r>
    <n v="1339"/>
    <x v="33"/>
    <x v="221"/>
    <x v="3"/>
    <x v="6"/>
    <x v="1"/>
    <x v="0"/>
    <x v="8"/>
    <x v="0"/>
    <n v="2.35"/>
    <n v="9.4"/>
  </r>
  <r>
    <n v="1340"/>
    <x v="87"/>
    <x v="1"/>
    <x v="4"/>
    <x v="6"/>
    <x v="2"/>
    <x v="3"/>
    <x v="7"/>
    <x v="3"/>
    <n v="3.7"/>
    <n v="7.4"/>
  </r>
  <r>
    <n v="1341"/>
    <x v="64"/>
    <x v="155"/>
    <x v="1"/>
    <x v="1"/>
    <x v="1"/>
    <x v="0"/>
    <x v="8"/>
    <x v="0"/>
    <n v="5.37"/>
    <n v="21.48"/>
  </r>
  <r>
    <n v="1342"/>
    <x v="155"/>
    <x v="278"/>
    <x v="5"/>
    <x v="2"/>
    <x v="1"/>
    <x v="0"/>
    <x v="8"/>
    <x v="2"/>
    <n v="5.22"/>
    <n v="15.66"/>
  </r>
  <r>
    <n v="1343"/>
    <x v="109"/>
    <x v="279"/>
    <x v="4"/>
    <x v="0"/>
    <x v="2"/>
    <x v="1"/>
    <x v="1"/>
    <x v="4"/>
    <n v="3.91"/>
    <n v="19.55"/>
  </r>
  <r>
    <n v="1344"/>
    <x v="38"/>
    <x v="259"/>
    <x v="4"/>
    <x v="2"/>
    <x v="1"/>
    <x v="0"/>
    <x v="8"/>
    <x v="0"/>
    <n v="5.16"/>
    <n v="20.64"/>
  </r>
  <r>
    <n v="1345"/>
    <x v="8"/>
    <x v="204"/>
    <x v="3"/>
    <x v="5"/>
    <x v="2"/>
    <x v="2"/>
    <x v="4"/>
    <x v="0"/>
    <n v="2.65"/>
    <n v="10.6"/>
  </r>
  <r>
    <n v="1346"/>
    <x v="156"/>
    <x v="280"/>
    <x v="0"/>
    <x v="2"/>
    <x v="1"/>
    <x v="3"/>
    <x v="9"/>
    <x v="0"/>
    <n v="2.84"/>
    <n v="11.36"/>
  </r>
  <r>
    <n v="1347"/>
    <x v="157"/>
    <x v="281"/>
    <x v="0"/>
    <x v="0"/>
    <x v="0"/>
    <x v="1"/>
    <x v="1"/>
    <x v="1"/>
    <n v="4.57"/>
    <n v="4.57"/>
  </r>
  <r>
    <n v="1348"/>
    <x v="46"/>
    <x v="282"/>
    <x v="1"/>
    <x v="6"/>
    <x v="1"/>
    <x v="2"/>
    <x v="6"/>
    <x v="1"/>
    <n v="4.6100000000000003"/>
    <n v="4.6100000000000003"/>
  </r>
  <r>
    <n v="1349"/>
    <x v="152"/>
    <x v="283"/>
    <x v="4"/>
    <x v="5"/>
    <x v="1"/>
    <x v="3"/>
    <x v="7"/>
    <x v="2"/>
    <n v="3.62"/>
    <n v="10.86"/>
  </r>
  <r>
    <n v="1350"/>
    <x v="30"/>
    <x v="284"/>
    <x v="2"/>
    <x v="0"/>
    <x v="0"/>
    <x v="1"/>
    <x v="1"/>
    <x v="2"/>
    <n v="5.01"/>
    <n v="15.03"/>
  </r>
  <r>
    <n v="1351"/>
    <x v="122"/>
    <x v="285"/>
    <x v="2"/>
    <x v="6"/>
    <x v="1"/>
    <x v="1"/>
    <x v="1"/>
    <x v="3"/>
    <n v="3.95"/>
    <n v="7.9"/>
  </r>
  <r>
    <n v="1352"/>
    <x v="66"/>
    <x v="286"/>
    <x v="0"/>
    <x v="4"/>
    <x v="2"/>
    <x v="1"/>
    <x v="1"/>
    <x v="0"/>
    <n v="4.88"/>
    <n v="19.52"/>
  </r>
  <r>
    <n v="1353"/>
    <x v="158"/>
    <x v="186"/>
    <x v="1"/>
    <x v="1"/>
    <x v="2"/>
    <x v="3"/>
    <x v="7"/>
    <x v="0"/>
    <n v="5.15"/>
    <n v="20.6"/>
  </r>
  <r>
    <n v="1354"/>
    <x v="159"/>
    <x v="45"/>
    <x v="2"/>
    <x v="0"/>
    <x v="2"/>
    <x v="1"/>
    <x v="1"/>
    <x v="4"/>
    <n v="4.79"/>
    <n v="23.95"/>
  </r>
  <r>
    <n v="1355"/>
    <x v="160"/>
    <x v="287"/>
    <x v="1"/>
    <x v="2"/>
    <x v="0"/>
    <x v="2"/>
    <x v="2"/>
    <x v="2"/>
    <n v="2.86"/>
    <n v="8.58"/>
  </r>
  <r>
    <n v="1356"/>
    <x v="158"/>
    <x v="22"/>
    <x v="1"/>
    <x v="1"/>
    <x v="0"/>
    <x v="1"/>
    <x v="1"/>
    <x v="4"/>
    <n v="5.74"/>
    <n v="28.7"/>
  </r>
  <r>
    <n v="1357"/>
    <x v="73"/>
    <x v="288"/>
    <x v="4"/>
    <x v="5"/>
    <x v="0"/>
    <x v="3"/>
    <x v="9"/>
    <x v="2"/>
    <n v="3.8"/>
    <n v="11.4"/>
  </r>
  <r>
    <n v="1358"/>
    <x v="83"/>
    <x v="264"/>
    <x v="2"/>
    <x v="0"/>
    <x v="0"/>
    <x v="0"/>
    <x v="3"/>
    <x v="2"/>
    <n v="5.17"/>
    <n v="15.51"/>
  </r>
  <r>
    <n v="1359"/>
    <x v="120"/>
    <x v="289"/>
    <x v="0"/>
    <x v="5"/>
    <x v="1"/>
    <x v="1"/>
    <x v="1"/>
    <x v="4"/>
    <n v="4.13"/>
    <n v="20.65"/>
  </r>
  <r>
    <n v="1360"/>
    <x v="148"/>
    <x v="290"/>
    <x v="3"/>
    <x v="4"/>
    <x v="1"/>
    <x v="2"/>
    <x v="5"/>
    <x v="1"/>
    <n v="5.8"/>
    <n v="5.8"/>
  </r>
  <r>
    <n v="1361"/>
    <x v="36"/>
    <x v="291"/>
    <x v="1"/>
    <x v="1"/>
    <x v="2"/>
    <x v="2"/>
    <x v="4"/>
    <x v="1"/>
    <n v="5.38"/>
    <n v="5.38"/>
  </r>
  <r>
    <n v="1362"/>
    <x v="70"/>
    <x v="292"/>
    <x v="2"/>
    <x v="6"/>
    <x v="0"/>
    <x v="1"/>
    <x v="1"/>
    <x v="2"/>
    <n v="3.39"/>
    <n v="10.17"/>
  </r>
  <r>
    <n v="1363"/>
    <x v="136"/>
    <x v="293"/>
    <x v="4"/>
    <x v="3"/>
    <x v="0"/>
    <x v="3"/>
    <x v="7"/>
    <x v="1"/>
    <n v="2.56"/>
    <n v="2.56"/>
  </r>
  <r>
    <n v="1364"/>
    <x v="31"/>
    <x v="294"/>
    <x v="4"/>
    <x v="4"/>
    <x v="2"/>
    <x v="2"/>
    <x v="4"/>
    <x v="0"/>
    <n v="4.47"/>
    <n v="17.88"/>
  </r>
  <r>
    <n v="1365"/>
    <x v="118"/>
    <x v="295"/>
    <x v="1"/>
    <x v="4"/>
    <x v="1"/>
    <x v="1"/>
    <x v="1"/>
    <x v="3"/>
    <n v="5.23"/>
    <n v="10.46"/>
  </r>
  <r>
    <n v="1366"/>
    <x v="118"/>
    <x v="168"/>
    <x v="1"/>
    <x v="4"/>
    <x v="1"/>
    <x v="3"/>
    <x v="9"/>
    <x v="4"/>
    <n v="5.35"/>
    <n v="26.75"/>
  </r>
  <r>
    <n v="1367"/>
    <x v="47"/>
    <x v="167"/>
    <x v="2"/>
    <x v="5"/>
    <x v="1"/>
    <x v="0"/>
    <x v="0"/>
    <x v="1"/>
    <n v="2.42"/>
    <n v="2.42"/>
  </r>
  <r>
    <n v="1368"/>
    <x v="161"/>
    <x v="138"/>
    <x v="5"/>
    <x v="2"/>
    <x v="2"/>
    <x v="3"/>
    <x v="9"/>
    <x v="1"/>
    <n v="2.67"/>
    <n v="2.67"/>
  </r>
  <r>
    <n v="1369"/>
    <x v="10"/>
    <x v="86"/>
    <x v="3"/>
    <x v="1"/>
    <x v="1"/>
    <x v="3"/>
    <x v="7"/>
    <x v="4"/>
    <n v="3.77"/>
    <n v="18.850000000000001"/>
  </r>
  <r>
    <n v="1370"/>
    <x v="31"/>
    <x v="296"/>
    <x v="4"/>
    <x v="4"/>
    <x v="1"/>
    <x v="2"/>
    <x v="6"/>
    <x v="2"/>
    <n v="4.12"/>
    <n v="12.36"/>
  </r>
  <r>
    <n v="1371"/>
    <x v="48"/>
    <x v="297"/>
    <x v="3"/>
    <x v="1"/>
    <x v="1"/>
    <x v="2"/>
    <x v="5"/>
    <x v="2"/>
    <n v="5.14"/>
    <n v="15.42"/>
  </r>
  <r>
    <n v="1372"/>
    <x v="162"/>
    <x v="298"/>
    <x v="1"/>
    <x v="5"/>
    <x v="2"/>
    <x v="3"/>
    <x v="10"/>
    <x v="2"/>
    <n v="2.19"/>
    <n v="6.57"/>
  </r>
  <r>
    <n v="1373"/>
    <x v="147"/>
    <x v="61"/>
    <x v="0"/>
    <x v="5"/>
    <x v="0"/>
    <x v="3"/>
    <x v="9"/>
    <x v="0"/>
    <n v="5.25"/>
    <n v="21"/>
  </r>
  <r>
    <n v="1374"/>
    <x v="90"/>
    <x v="299"/>
    <x v="5"/>
    <x v="4"/>
    <x v="1"/>
    <x v="1"/>
    <x v="1"/>
    <x v="4"/>
    <n v="5.25"/>
    <n v="26.25"/>
  </r>
  <r>
    <n v="1375"/>
    <x v="163"/>
    <x v="208"/>
    <x v="4"/>
    <x v="4"/>
    <x v="2"/>
    <x v="3"/>
    <x v="10"/>
    <x v="3"/>
    <n v="3.03"/>
    <n v="6.06"/>
  </r>
  <r>
    <n v="1376"/>
    <x v="52"/>
    <x v="300"/>
    <x v="0"/>
    <x v="3"/>
    <x v="0"/>
    <x v="1"/>
    <x v="1"/>
    <x v="2"/>
    <n v="2.2599999999999998"/>
    <n v="6.78"/>
  </r>
  <r>
    <n v="1377"/>
    <x v="138"/>
    <x v="294"/>
    <x v="5"/>
    <x v="3"/>
    <x v="1"/>
    <x v="0"/>
    <x v="3"/>
    <x v="0"/>
    <n v="2.2599999999999998"/>
    <n v="9.0399999999999991"/>
  </r>
  <r>
    <n v="1378"/>
    <x v="75"/>
    <x v="301"/>
    <x v="2"/>
    <x v="2"/>
    <x v="2"/>
    <x v="1"/>
    <x v="1"/>
    <x v="4"/>
    <n v="5.2"/>
    <n v="26"/>
  </r>
  <r>
    <n v="1379"/>
    <x v="46"/>
    <x v="44"/>
    <x v="1"/>
    <x v="6"/>
    <x v="2"/>
    <x v="3"/>
    <x v="7"/>
    <x v="2"/>
    <n v="5.65"/>
    <n v="16.95"/>
  </r>
  <r>
    <n v="1380"/>
    <x v="147"/>
    <x v="135"/>
    <x v="0"/>
    <x v="5"/>
    <x v="1"/>
    <x v="1"/>
    <x v="1"/>
    <x v="4"/>
    <n v="5.99"/>
    <n v="29.95"/>
  </r>
  <r>
    <n v="1381"/>
    <x v="49"/>
    <x v="302"/>
    <x v="5"/>
    <x v="0"/>
    <x v="0"/>
    <x v="1"/>
    <x v="1"/>
    <x v="3"/>
    <n v="4.6100000000000003"/>
    <n v="9.2200000000000006"/>
  </r>
  <r>
    <n v="1382"/>
    <x v="70"/>
    <x v="303"/>
    <x v="2"/>
    <x v="6"/>
    <x v="1"/>
    <x v="0"/>
    <x v="3"/>
    <x v="2"/>
    <n v="4.8600000000000003"/>
    <n v="14.58"/>
  </r>
  <r>
    <n v="1383"/>
    <x v="42"/>
    <x v="304"/>
    <x v="1"/>
    <x v="0"/>
    <x v="1"/>
    <x v="2"/>
    <x v="5"/>
    <x v="0"/>
    <n v="2.82"/>
    <n v="11.28"/>
  </r>
  <r>
    <n v="1384"/>
    <x v="99"/>
    <x v="305"/>
    <x v="2"/>
    <x v="5"/>
    <x v="0"/>
    <x v="2"/>
    <x v="4"/>
    <x v="2"/>
    <n v="3.51"/>
    <n v="10.53"/>
  </r>
  <r>
    <n v="1385"/>
    <x v="95"/>
    <x v="211"/>
    <x v="2"/>
    <x v="2"/>
    <x v="0"/>
    <x v="3"/>
    <x v="10"/>
    <x v="3"/>
    <n v="4.51"/>
    <n v="9.02"/>
  </r>
  <r>
    <n v="1386"/>
    <x v="64"/>
    <x v="70"/>
    <x v="1"/>
    <x v="1"/>
    <x v="2"/>
    <x v="0"/>
    <x v="0"/>
    <x v="3"/>
    <n v="2.77"/>
    <n v="5.54"/>
  </r>
  <r>
    <n v="1387"/>
    <x v="15"/>
    <x v="205"/>
    <x v="4"/>
    <x v="4"/>
    <x v="0"/>
    <x v="3"/>
    <x v="7"/>
    <x v="2"/>
    <n v="5.44"/>
    <n v="16.32"/>
  </r>
  <r>
    <n v="1388"/>
    <x v="73"/>
    <x v="306"/>
    <x v="4"/>
    <x v="5"/>
    <x v="1"/>
    <x v="0"/>
    <x v="8"/>
    <x v="2"/>
    <n v="5.63"/>
    <n v="16.89"/>
  </r>
  <r>
    <n v="1389"/>
    <x v="110"/>
    <x v="235"/>
    <x v="0"/>
    <x v="6"/>
    <x v="2"/>
    <x v="0"/>
    <x v="3"/>
    <x v="0"/>
    <n v="3.18"/>
    <n v="12.72"/>
  </r>
  <r>
    <n v="1390"/>
    <x v="41"/>
    <x v="307"/>
    <x v="5"/>
    <x v="0"/>
    <x v="0"/>
    <x v="3"/>
    <x v="10"/>
    <x v="2"/>
    <n v="4.75"/>
    <n v="14.25"/>
  </r>
  <r>
    <n v="1391"/>
    <x v="92"/>
    <x v="239"/>
    <x v="5"/>
    <x v="6"/>
    <x v="0"/>
    <x v="0"/>
    <x v="3"/>
    <x v="1"/>
    <n v="5.4"/>
    <n v="5.4"/>
  </r>
  <r>
    <n v="1392"/>
    <x v="131"/>
    <x v="308"/>
    <x v="3"/>
    <x v="4"/>
    <x v="0"/>
    <x v="2"/>
    <x v="5"/>
    <x v="1"/>
    <n v="4.97"/>
    <n v="4.97"/>
  </r>
  <r>
    <n v="1393"/>
    <x v="73"/>
    <x v="309"/>
    <x v="4"/>
    <x v="5"/>
    <x v="0"/>
    <x v="0"/>
    <x v="3"/>
    <x v="1"/>
    <n v="3.15"/>
    <n v="3.15"/>
  </r>
  <r>
    <n v="1394"/>
    <x v="164"/>
    <x v="249"/>
    <x v="0"/>
    <x v="4"/>
    <x v="1"/>
    <x v="3"/>
    <x v="10"/>
    <x v="3"/>
    <n v="4.67"/>
    <n v="9.34"/>
  </r>
  <r>
    <n v="1395"/>
    <x v="144"/>
    <x v="245"/>
    <x v="0"/>
    <x v="5"/>
    <x v="0"/>
    <x v="2"/>
    <x v="2"/>
    <x v="2"/>
    <n v="4.4000000000000004"/>
    <n v="13.2"/>
  </r>
  <r>
    <n v="1396"/>
    <x v="77"/>
    <x v="243"/>
    <x v="3"/>
    <x v="3"/>
    <x v="0"/>
    <x v="1"/>
    <x v="1"/>
    <x v="4"/>
    <n v="4.3600000000000003"/>
    <n v="21.8"/>
  </r>
  <r>
    <n v="1397"/>
    <x v="78"/>
    <x v="310"/>
    <x v="4"/>
    <x v="2"/>
    <x v="2"/>
    <x v="3"/>
    <x v="7"/>
    <x v="3"/>
    <n v="4.72"/>
    <n v="9.44"/>
  </r>
  <r>
    <n v="1398"/>
    <x v="79"/>
    <x v="311"/>
    <x v="0"/>
    <x v="1"/>
    <x v="2"/>
    <x v="3"/>
    <x v="9"/>
    <x v="3"/>
    <n v="3.36"/>
    <n v="6.72"/>
  </r>
  <r>
    <n v="1399"/>
    <x v="60"/>
    <x v="312"/>
    <x v="5"/>
    <x v="1"/>
    <x v="2"/>
    <x v="2"/>
    <x v="4"/>
    <x v="3"/>
    <n v="5.0199999999999996"/>
    <n v="10.039999999999999"/>
  </r>
  <r>
    <n v="1400"/>
    <x v="159"/>
    <x v="53"/>
    <x v="2"/>
    <x v="0"/>
    <x v="1"/>
    <x v="3"/>
    <x v="7"/>
    <x v="1"/>
    <n v="4.8499999999999996"/>
    <n v="4.8499999999999996"/>
  </r>
  <r>
    <n v="1401"/>
    <x v="86"/>
    <x v="313"/>
    <x v="2"/>
    <x v="5"/>
    <x v="1"/>
    <x v="0"/>
    <x v="8"/>
    <x v="1"/>
    <n v="4.82"/>
    <n v="4.82"/>
  </r>
  <r>
    <n v="1402"/>
    <x v="109"/>
    <x v="102"/>
    <x v="4"/>
    <x v="0"/>
    <x v="1"/>
    <x v="2"/>
    <x v="5"/>
    <x v="2"/>
    <n v="5.98"/>
    <n v="17.940000000000001"/>
  </r>
  <r>
    <n v="1403"/>
    <x v="119"/>
    <x v="314"/>
    <x v="2"/>
    <x v="1"/>
    <x v="0"/>
    <x v="2"/>
    <x v="5"/>
    <x v="3"/>
    <n v="5.23"/>
    <n v="10.46"/>
  </r>
  <r>
    <n v="1404"/>
    <x v="109"/>
    <x v="315"/>
    <x v="4"/>
    <x v="0"/>
    <x v="1"/>
    <x v="2"/>
    <x v="5"/>
    <x v="4"/>
    <n v="2.2799999999999998"/>
    <n v="11.4"/>
  </r>
  <r>
    <n v="1405"/>
    <x v="22"/>
    <x v="316"/>
    <x v="1"/>
    <x v="6"/>
    <x v="2"/>
    <x v="2"/>
    <x v="5"/>
    <x v="4"/>
    <n v="2.63"/>
    <n v="13.15"/>
  </r>
  <r>
    <n v="1406"/>
    <x v="29"/>
    <x v="317"/>
    <x v="5"/>
    <x v="5"/>
    <x v="2"/>
    <x v="2"/>
    <x v="5"/>
    <x v="2"/>
    <n v="3.67"/>
    <n v="11.01"/>
  </r>
  <r>
    <n v="1407"/>
    <x v="40"/>
    <x v="318"/>
    <x v="2"/>
    <x v="5"/>
    <x v="0"/>
    <x v="0"/>
    <x v="3"/>
    <x v="4"/>
    <n v="2.2799999999999998"/>
    <n v="11.4"/>
  </r>
  <r>
    <n v="1408"/>
    <x v="165"/>
    <x v="200"/>
    <x v="2"/>
    <x v="3"/>
    <x v="2"/>
    <x v="2"/>
    <x v="6"/>
    <x v="1"/>
    <n v="2.66"/>
    <n v="2.66"/>
  </r>
  <r>
    <n v="1409"/>
    <x v="161"/>
    <x v="319"/>
    <x v="5"/>
    <x v="2"/>
    <x v="0"/>
    <x v="2"/>
    <x v="5"/>
    <x v="1"/>
    <n v="3.05"/>
    <n v="3.05"/>
  </r>
  <r>
    <n v="1410"/>
    <x v="70"/>
    <x v="320"/>
    <x v="2"/>
    <x v="6"/>
    <x v="1"/>
    <x v="0"/>
    <x v="8"/>
    <x v="0"/>
    <n v="4.7"/>
    <n v="18.8"/>
  </r>
  <r>
    <n v="1411"/>
    <x v="9"/>
    <x v="259"/>
    <x v="3"/>
    <x v="0"/>
    <x v="0"/>
    <x v="2"/>
    <x v="4"/>
    <x v="1"/>
    <n v="3.19"/>
    <n v="3.19"/>
  </r>
  <r>
    <n v="1412"/>
    <x v="134"/>
    <x v="72"/>
    <x v="3"/>
    <x v="2"/>
    <x v="0"/>
    <x v="3"/>
    <x v="10"/>
    <x v="2"/>
    <n v="2.06"/>
    <n v="6.18"/>
  </r>
  <r>
    <n v="1413"/>
    <x v="139"/>
    <x v="321"/>
    <x v="4"/>
    <x v="0"/>
    <x v="0"/>
    <x v="2"/>
    <x v="6"/>
    <x v="4"/>
    <n v="4.3"/>
    <n v="21.5"/>
  </r>
  <r>
    <n v="1414"/>
    <x v="131"/>
    <x v="295"/>
    <x v="3"/>
    <x v="4"/>
    <x v="1"/>
    <x v="2"/>
    <x v="4"/>
    <x v="0"/>
    <n v="4.68"/>
    <n v="18.72"/>
  </r>
  <r>
    <n v="1415"/>
    <x v="73"/>
    <x v="206"/>
    <x v="4"/>
    <x v="5"/>
    <x v="1"/>
    <x v="0"/>
    <x v="3"/>
    <x v="4"/>
    <n v="4.83"/>
    <n v="24.15"/>
  </r>
  <r>
    <n v="1416"/>
    <x v="71"/>
    <x v="322"/>
    <x v="0"/>
    <x v="6"/>
    <x v="2"/>
    <x v="2"/>
    <x v="6"/>
    <x v="3"/>
    <n v="3.79"/>
    <n v="7.58"/>
  </r>
  <r>
    <n v="1417"/>
    <x v="7"/>
    <x v="322"/>
    <x v="5"/>
    <x v="2"/>
    <x v="2"/>
    <x v="3"/>
    <x v="7"/>
    <x v="4"/>
    <n v="2.12"/>
    <n v="10.6"/>
  </r>
  <r>
    <n v="1418"/>
    <x v="34"/>
    <x v="120"/>
    <x v="1"/>
    <x v="5"/>
    <x v="1"/>
    <x v="0"/>
    <x v="3"/>
    <x v="3"/>
    <n v="5.76"/>
    <n v="11.52"/>
  </r>
  <r>
    <n v="1419"/>
    <x v="79"/>
    <x v="236"/>
    <x v="0"/>
    <x v="1"/>
    <x v="1"/>
    <x v="0"/>
    <x v="8"/>
    <x v="1"/>
    <n v="4.4800000000000004"/>
    <n v="4.4800000000000004"/>
  </r>
  <r>
    <n v="1420"/>
    <x v="115"/>
    <x v="323"/>
    <x v="5"/>
    <x v="4"/>
    <x v="2"/>
    <x v="2"/>
    <x v="5"/>
    <x v="4"/>
    <n v="2.57"/>
    <n v="12.85"/>
  </r>
  <r>
    <n v="1421"/>
    <x v="24"/>
    <x v="324"/>
    <x v="4"/>
    <x v="4"/>
    <x v="1"/>
    <x v="1"/>
    <x v="1"/>
    <x v="4"/>
    <n v="3.63"/>
    <n v="18.149999999999999"/>
  </r>
  <r>
    <n v="1422"/>
    <x v="147"/>
    <x v="325"/>
    <x v="0"/>
    <x v="5"/>
    <x v="1"/>
    <x v="1"/>
    <x v="1"/>
    <x v="3"/>
    <n v="2.42"/>
    <n v="4.84"/>
  </r>
  <r>
    <n v="1423"/>
    <x v="104"/>
    <x v="326"/>
    <x v="3"/>
    <x v="2"/>
    <x v="1"/>
    <x v="1"/>
    <x v="1"/>
    <x v="2"/>
    <n v="5.79"/>
    <n v="17.37"/>
  </r>
  <r>
    <n v="1424"/>
    <x v="161"/>
    <x v="183"/>
    <x v="5"/>
    <x v="2"/>
    <x v="0"/>
    <x v="2"/>
    <x v="4"/>
    <x v="4"/>
    <n v="3.34"/>
    <n v="16.7"/>
  </r>
  <r>
    <n v="1425"/>
    <x v="154"/>
    <x v="327"/>
    <x v="2"/>
    <x v="2"/>
    <x v="2"/>
    <x v="3"/>
    <x v="7"/>
    <x v="4"/>
    <n v="5.78"/>
    <n v="28.9"/>
  </r>
  <r>
    <n v="1426"/>
    <x v="4"/>
    <x v="328"/>
    <x v="3"/>
    <x v="4"/>
    <x v="2"/>
    <x v="0"/>
    <x v="0"/>
    <x v="2"/>
    <n v="2.2400000000000002"/>
    <n v="6.72"/>
  </r>
  <r>
    <n v="1427"/>
    <x v="100"/>
    <x v="329"/>
    <x v="1"/>
    <x v="6"/>
    <x v="1"/>
    <x v="0"/>
    <x v="0"/>
    <x v="0"/>
    <n v="5.97"/>
    <n v="23.88"/>
  </r>
  <r>
    <n v="1428"/>
    <x v="129"/>
    <x v="120"/>
    <x v="4"/>
    <x v="2"/>
    <x v="1"/>
    <x v="1"/>
    <x v="1"/>
    <x v="4"/>
    <n v="2.81"/>
    <n v="14.05"/>
  </r>
  <r>
    <n v="1429"/>
    <x v="67"/>
    <x v="330"/>
    <x v="3"/>
    <x v="0"/>
    <x v="2"/>
    <x v="1"/>
    <x v="1"/>
    <x v="0"/>
    <n v="4.68"/>
    <n v="18.72"/>
  </r>
  <r>
    <n v="1430"/>
    <x v="114"/>
    <x v="331"/>
    <x v="4"/>
    <x v="2"/>
    <x v="1"/>
    <x v="2"/>
    <x v="2"/>
    <x v="0"/>
    <n v="3.25"/>
    <n v="13"/>
  </r>
  <r>
    <n v="1431"/>
    <x v="42"/>
    <x v="332"/>
    <x v="1"/>
    <x v="0"/>
    <x v="2"/>
    <x v="0"/>
    <x v="8"/>
    <x v="4"/>
    <n v="3.64"/>
    <n v="18.2"/>
  </r>
  <r>
    <n v="1432"/>
    <x v="166"/>
    <x v="149"/>
    <x v="1"/>
    <x v="3"/>
    <x v="0"/>
    <x v="2"/>
    <x v="6"/>
    <x v="2"/>
    <n v="4.32"/>
    <n v="12.96"/>
  </r>
  <r>
    <n v="1433"/>
    <x v="22"/>
    <x v="333"/>
    <x v="1"/>
    <x v="6"/>
    <x v="0"/>
    <x v="1"/>
    <x v="1"/>
    <x v="1"/>
    <n v="2.66"/>
    <n v="2.66"/>
  </r>
  <r>
    <n v="1434"/>
    <x v="26"/>
    <x v="334"/>
    <x v="0"/>
    <x v="4"/>
    <x v="2"/>
    <x v="2"/>
    <x v="5"/>
    <x v="4"/>
    <n v="2.78"/>
    <n v="13.9"/>
  </r>
  <r>
    <n v="1435"/>
    <x v="147"/>
    <x v="335"/>
    <x v="0"/>
    <x v="5"/>
    <x v="0"/>
    <x v="2"/>
    <x v="6"/>
    <x v="4"/>
    <n v="4.04"/>
    <n v="20.2"/>
  </r>
  <r>
    <n v="1436"/>
    <x v="137"/>
    <x v="336"/>
    <x v="4"/>
    <x v="1"/>
    <x v="1"/>
    <x v="0"/>
    <x v="3"/>
    <x v="1"/>
    <n v="3.76"/>
    <n v="3.76"/>
  </r>
  <r>
    <n v="1437"/>
    <x v="92"/>
    <x v="39"/>
    <x v="5"/>
    <x v="6"/>
    <x v="0"/>
    <x v="2"/>
    <x v="4"/>
    <x v="4"/>
    <n v="2.17"/>
    <n v="10.85"/>
  </r>
  <r>
    <n v="1438"/>
    <x v="167"/>
    <x v="337"/>
    <x v="0"/>
    <x v="0"/>
    <x v="0"/>
    <x v="3"/>
    <x v="9"/>
    <x v="1"/>
    <n v="5.4"/>
    <n v="5.4"/>
  </r>
  <r>
    <n v="1439"/>
    <x v="119"/>
    <x v="338"/>
    <x v="2"/>
    <x v="1"/>
    <x v="2"/>
    <x v="2"/>
    <x v="6"/>
    <x v="1"/>
    <n v="4.0999999999999996"/>
    <n v="4.0999999999999996"/>
  </r>
  <r>
    <n v="1440"/>
    <x v="68"/>
    <x v="339"/>
    <x v="0"/>
    <x v="2"/>
    <x v="0"/>
    <x v="1"/>
    <x v="1"/>
    <x v="1"/>
    <n v="5.95"/>
    <n v="5.95"/>
  </r>
  <r>
    <n v="1441"/>
    <x v="92"/>
    <x v="340"/>
    <x v="5"/>
    <x v="6"/>
    <x v="2"/>
    <x v="2"/>
    <x v="2"/>
    <x v="2"/>
    <n v="4.33"/>
    <n v="12.99"/>
  </r>
  <r>
    <n v="1442"/>
    <x v="130"/>
    <x v="341"/>
    <x v="3"/>
    <x v="4"/>
    <x v="2"/>
    <x v="1"/>
    <x v="1"/>
    <x v="3"/>
    <n v="5.65"/>
    <n v="11.3"/>
  </r>
  <r>
    <n v="1443"/>
    <x v="83"/>
    <x v="189"/>
    <x v="2"/>
    <x v="0"/>
    <x v="1"/>
    <x v="2"/>
    <x v="5"/>
    <x v="3"/>
    <n v="5.0999999999999996"/>
    <n v="10.199999999999999"/>
  </r>
  <r>
    <n v="1444"/>
    <x v="9"/>
    <x v="314"/>
    <x v="3"/>
    <x v="0"/>
    <x v="0"/>
    <x v="3"/>
    <x v="7"/>
    <x v="1"/>
    <n v="5.96"/>
    <n v="5.96"/>
  </r>
  <r>
    <n v="1445"/>
    <x v="52"/>
    <x v="342"/>
    <x v="0"/>
    <x v="3"/>
    <x v="1"/>
    <x v="0"/>
    <x v="8"/>
    <x v="0"/>
    <n v="3.1"/>
    <n v="12.4"/>
  </r>
  <r>
    <n v="1446"/>
    <x v="144"/>
    <x v="285"/>
    <x v="0"/>
    <x v="5"/>
    <x v="0"/>
    <x v="1"/>
    <x v="1"/>
    <x v="2"/>
    <n v="2.5"/>
    <n v="7.5"/>
  </r>
  <r>
    <n v="1447"/>
    <x v="72"/>
    <x v="343"/>
    <x v="5"/>
    <x v="0"/>
    <x v="1"/>
    <x v="3"/>
    <x v="9"/>
    <x v="2"/>
    <n v="2.12"/>
    <n v="6.36"/>
  </r>
  <r>
    <n v="1448"/>
    <x v="58"/>
    <x v="95"/>
    <x v="3"/>
    <x v="6"/>
    <x v="2"/>
    <x v="0"/>
    <x v="3"/>
    <x v="4"/>
    <n v="5.82"/>
    <n v="29.1"/>
  </r>
  <r>
    <n v="1449"/>
    <x v="45"/>
    <x v="344"/>
    <x v="1"/>
    <x v="4"/>
    <x v="2"/>
    <x v="1"/>
    <x v="1"/>
    <x v="0"/>
    <n v="2.16"/>
    <n v="8.64"/>
  </r>
  <r>
    <n v="1450"/>
    <x v="37"/>
    <x v="92"/>
    <x v="1"/>
    <x v="2"/>
    <x v="1"/>
    <x v="2"/>
    <x v="5"/>
    <x v="1"/>
    <n v="2.79"/>
    <n v="2.79"/>
  </r>
  <r>
    <n v="1451"/>
    <x v="168"/>
    <x v="302"/>
    <x v="3"/>
    <x v="6"/>
    <x v="1"/>
    <x v="3"/>
    <x v="9"/>
    <x v="2"/>
    <n v="5.91"/>
    <n v="17.73"/>
  </r>
  <r>
    <n v="1452"/>
    <x v="90"/>
    <x v="345"/>
    <x v="5"/>
    <x v="4"/>
    <x v="1"/>
    <x v="1"/>
    <x v="1"/>
    <x v="4"/>
    <n v="3.65"/>
    <n v="18.25"/>
  </r>
  <r>
    <n v="1453"/>
    <x v="127"/>
    <x v="151"/>
    <x v="0"/>
    <x v="0"/>
    <x v="2"/>
    <x v="0"/>
    <x v="0"/>
    <x v="4"/>
    <n v="2.7"/>
    <n v="13.5"/>
  </r>
  <r>
    <n v="1454"/>
    <x v="27"/>
    <x v="346"/>
    <x v="1"/>
    <x v="6"/>
    <x v="2"/>
    <x v="2"/>
    <x v="6"/>
    <x v="3"/>
    <n v="2.31"/>
    <n v="4.62"/>
  </r>
  <r>
    <n v="1455"/>
    <x v="169"/>
    <x v="296"/>
    <x v="0"/>
    <x v="3"/>
    <x v="0"/>
    <x v="3"/>
    <x v="7"/>
    <x v="2"/>
    <n v="5.22"/>
    <n v="15.66"/>
  </r>
  <r>
    <n v="1456"/>
    <x v="136"/>
    <x v="347"/>
    <x v="4"/>
    <x v="3"/>
    <x v="1"/>
    <x v="2"/>
    <x v="2"/>
    <x v="1"/>
    <n v="2.36"/>
    <n v="2.36"/>
  </r>
  <r>
    <n v="1457"/>
    <x v="17"/>
    <x v="348"/>
    <x v="0"/>
    <x v="4"/>
    <x v="2"/>
    <x v="0"/>
    <x v="3"/>
    <x v="1"/>
    <n v="2.4500000000000002"/>
    <n v="2.4500000000000002"/>
  </r>
  <r>
    <n v="1458"/>
    <x v="82"/>
    <x v="300"/>
    <x v="0"/>
    <x v="3"/>
    <x v="0"/>
    <x v="0"/>
    <x v="8"/>
    <x v="4"/>
    <n v="4.55"/>
    <n v="22.75"/>
  </r>
  <r>
    <n v="1459"/>
    <x v="170"/>
    <x v="88"/>
    <x v="5"/>
    <x v="2"/>
    <x v="2"/>
    <x v="3"/>
    <x v="9"/>
    <x v="3"/>
    <n v="3.59"/>
    <n v="7.18"/>
  </r>
  <r>
    <n v="1460"/>
    <x v="68"/>
    <x v="294"/>
    <x v="0"/>
    <x v="2"/>
    <x v="1"/>
    <x v="0"/>
    <x v="8"/>
    <x v="4"/>
    <n v="3.65"/>
    <n v="18.25"/>
  </r>
  <r>
    <n v="1461"/>
    <x v="70"/>
    <x v="349"/>
    <x v="2"/>
    <x v="6"/>
    <x v="1"/>
    <x v="0"/>
    <x v="8"/>
    <x v="2"/>
    <n v="2.08"/>
    <n v="6.24"/>
  </r>
  <r>
    <n v="1462"/>
    <x v="151"/>
    <x v="157"/>
    <x v="5"/>
    <x v="0"/>
    <x v="2"/>
    <x v="2"/>
    <x v="6"/>
    <x v="4"/>
    <n v="2.06"/>
    <n v="10.3"/>
  </r>
  <r>
    <n v="1463"/>
    <x v="13"/>
    <x v="307"/>
    <x v="2"/>
    <x v="4"/>
    <x v="2"/>
    <x v="3"/>
    <x v="10"/>
    <x v="3"/>
    <n v="5.8"/>
    <n v="11.6"/>
  </r>
  <r>
    <n v="1464"/>
    <x v="171"/>
    <x v="124"/>
    <x v="5"/>
    <x v="1"/>
    <x v="0"/>
    <x v="1"/>
    <x v="1"/>
    <x v="4"/>
    <n v="3.8"/>
    <n v="19"/>
  </r>
  <r>
    <n v="1465"/>
    <x v="131"/>
    <x v="350"/>
    <x v="3"/>
    <x v="4"/>
    <x v="1"/>
    <x v="2"/>
    <x v="2"/>
    <x v="3"/>
    <n v="5.1100000000000003"/>
    <n v="10.220000000000001"/>
  </r>
  <r>
    <n v="1466"/>
    <x v="35"/>
    <x v="351"/>
    <x v="5"/>
    <x v="0"/>
    <x v="1"/>
    <x v="1"/>
    <x v="1"/>
    <x v="0"/>
    <n v="3.11"/>
    <n v="12.44"/>
  </r>
  <r>
    <n v="1467"/>
    <x v="64"/>
    <x v="195"/>
    <x v="1"/>
    <x v="1"/>
    <x v="1"/>
    <x v="3"/>
    <x v="7"/>
    <x v="2"/>
    <n v="5.52"/>
    <n v="16.559999999999999"/>
  </r>
  <r>
    <n v="1468"/>
    <x v="0"/>
    <x v="285"/>
    <x v="0"/>
    <x v="0"/>
    <x v="0"/>
    <x v="0"/>
    <x v="0"/>
    <x v="0"/>
    <n v="5.8"/>
    <n v="23.2"/>
  </r>
  <r>
    <n v="1469"/>
    <x v="123"/>
    <x v="352"/>
    <x v="1"/>
    <x v="3"/>
    <x v="1"/>
    <x v="1"/>
    <x v="1"/>
    <x v="1"/>
    <n v="5.26"/>
    <n v="5.26"/>
  </r>
  <r>
    <n v="1470"/>
    <x v="117"/>
    <x v="353"/>
    <x v="5"/>
    <x v="4"/>
    <x v="1"/>
    <x v="1"/>
    <x v="1"/>
    <x v="0"/>
    <n v="5.39"/>
    <n v="21.56"/>
  </r>
  <r>
    <n v="1471"/>
    <x v="158"/>
    <x v="354"/>
    <x v="1"/>
    <x v="1"/>
    <x v="0"/>
    <x v="0"/>
    <x v="3"/>
    <x v="0"/>
    <n v="2.99"/>
    <n v="11.96"/>
  </r>
  <r>
    <n v="1472"/>
    <x v="42"/>
    <x v="355"/>
    <x v="1"/>
    <x v="0"/>
    <x v="1"/>
    <x v="0"/>
    <x v="3"/>
    <x v="0"/>
    <n v="2.52"/>
    <n v="10.08"/>
  </r>
  <r>
    <n v="1473"/>
    <x v="143"/>
    <x v="36"/>
    <x v="4"/>
    <x v="0"/>
    <x v="2"/>
    <x v="2"/>
    <x v="5"/>
    <x v="2"/>
    <n v="2.23"/>
    <n v="6.69"/>
  </r>
  <r>
    <n v="1474"/>
    <x v="30"/>
    <x v="173"/>
    <x v="2"/>
    <x v="0"/>
    <x v="1"/>
    <x v="2"/>
    <x v="6"/>
    <x v="4"/>
    <n v="5.95"/>
    <n v="29.75"/>
  </r>
  <r>
    <n v="1475"/>
    <x v="149"/>
    <x v="356"/>
    <x v="1"/>
    <x v="2"/>
    <x v="2"/>
    <x v="3"/>
    <x v="7"/>
    <x v="0"/>
    <n v="4.18"/>
    <n v="16.72"/>
  </r>
  <r>
    <n v="1476"/>
    <x v="101"/>
    <x v="18"/>
    <x v="2"/>
    <x v="3"/>
    <x v="2"/>
    <x v="1"/>
    <x v="1"/>
    <x v="3"/>
    <n v="4.3"/>
    <n v="8.6"/>
  </r>
  <r>
    <n v="1477"/>
    <x v="123"/>
    <x v="357"/>
    <x v="1"/>
    <x v="3"/>
    <x v="2"/>
    <x v="3"/>
    <x v="10"/>
    <x v="4"/>
    <n v="3.38"/>
    <n v="16.899999999999999"/>
  </r>
  <r>
    <n v="1478"/>
    <x v="97"/>
    <x v="72"/>
    <x v="2"/>
    <x v="4"/>
    <x v="1"/>
    <x v="3"/>
    <x v="9"/>
    <x v="1"/>
    <n v="4.2"/>
    <n v="4.2"/>
  </r>
  <r>
    <n v="1479"/>
    <x v="150"/>
    <x v="358"/>
    <x v="0"/>
    <x v="4"/>
    <x v="1"/>
    <x v="2"/>
    <x v="2"/>
    <x v="0"/>
    <n v="2.82"/>
    <n v="11.28"/>
  </r>
  <r>
    <n v="1480"/>
    <x v="121"/>
    <x v="229"/>
    <x v="3"/>
    <x v="2"/>
    <x v="1"/>
    <x v="0"/>
    <x v="0"/>
    <x v="3"/>
    <n v="3.49"/>
    <n v="6.98"/>
  </r>
  <r>
    <n v="1481"/>
    <x v="146"/>
    <x v="359"/>
    <x v="4"/>
    <x v="6"/>
    <x v="2"/>
    <x v="0"/>
    <x v="8"/>
    <x v="3"/>
    <n v="5.52"/>
    <n v="11.04"/>
  </r>
  <r>
    <n v="1482"/>
    <x v="150"/>
    <x v="360"/>
    <x v="0"/>
    <x v="4"/>
    <x v="2"/>
    <x v="0"/>
    <x v="8"/>
    <x v="1"/>
    <n v="5.67"/>
    <n v="5.67"/>
  </r>
  <r>
    <n v="1483"/>
    <x v="156"/>
    <x v="361"/>
    <x v="0"/>
    <x v="2"/>
    <x v="0"/>
    <x v="3"/>
    <x v="7"/>
    <x v="1"/>
    <n v="4.09"/>
    <n v="4.09"/>
  </r>
  <r>
    <n v="1484"/>
    <x v="11"/>
    <x v="82"/>
    <x v="4"/>
    <x v="0"/>
    <x v="1"/>
    <x v="2"/>
    <x v="4"/>
    <x v="0"/>
    <n v="3.56"/>
    <n v="14.24"/>
  </r>
  <r>
    <n v="1485"/>
    <x v="27"/>
    <x v="349"/>
    <x v="1"/>
    <x v="6"/>
    <x v="2"/>
    <x v="2"/>
    <x v="5"/>
    <x v="3"/>
    <n v="5.12"/>
    <n v="10.24"/>
  </r>
  <r>
    <n v="1486"/>
    <x v="53"/>
    <x v="362"/>
    <x v="0"/>
    <x v="0"/>
    <x v="0"/>
    <x v="1"/>
    <x v="1"/>
    <x v="1"/>
    <n v="5.49"/>
    <n v="5.49"/>
  </r>
  <r>
    <n v="1487"/>
    <x v="155"/>
    <x v="363"/>
    <x v="5"/>
    <x v="2"/>
    <x v="0"/>
    <x v="1"/>
    <x v="1"/>
    <x v="0"/>
    <n v="5.17"/>
    <n v="20.68"/>
  </r>
  <r>
    <n v="1488"/>
    <x v="111"/>
    <x v="364"/>
    <x v="2"/>
    <x v="0"/>
    <x v="0"/>
    <x v="0"/>
    <x v="8"/>
    <x v="0"/>
    <n v="4.87"/>
    <n v="19.48"/>
  </r>
  <r>
    <n v="1489"/>
    <x v="54"/>
    <x v="10"/>
    <x v="1"/>
    <x v="0"/>
    <x v="2"/>
    <x v="1"/>
    <x v="1"/>
    <x v="2"/>
    <n v="5.47"/>
    <n v="16.41"/>
  </r>
  <r>
    <n v="1490"/>
    <x v="21"/>
    <x v="365"/>
    <x v="5"/>
    <x v="1"/>
    <x v="1"/>
    <x v="2"/>
    <x v="5"/>
    <x v="1"/>
    <n v="3.8"/>
    <n v="3.8"/>
  </r>
  <r>
    <n v="1491"/>
    <x v="124"/>
    <x v="29"/>
    <x v="3"/>
    <x v="0"/>
    <x v="0"/>
    <x v="0"/>
    <x v="0"/>
    <x v="1"/>
    <n v="4.4400000000000004"/>
    <n v="4.4400000000000004"/>
  </r>
  <r>
    <n v="1492"/>
    <x v="149"/>
    <x v="166"/>
    <x v="1"/>
    <x v="2"/>
    <x v="2"/>
    <x v="1"/>
    <x v="1"/>
    <x v="0"/>
    <n v="4.2699999999999996"/>
    <n v="17.079999999999998"/>
  </r>
  <r>
    <n v="1493"/>
    <x v="153"/>
    <x v="57"/>
    <x v="2"/>
    <x v="6"/>
    <x v="2"/>
    <x v="1"/>
    <x v="1"/>
    <x v="0"/>
    <n v="3.77"/>
    <n v="15.08"/>
  </r>
  <r>
    <n v="1494"/>
    <x v="42"/>
    <x v="366"/>
    <x v="1"/>
    <x v="0"/>
    <x v="1"/>
    <x v="1"/>
    <x v="1"/>
    <x v="2"/>
    <n v="4.53"/>
    <n v="13.59"/>
  </r>
  <r>
    <n v="1495"/>
    <x v="66"/>
    <x v="367"/>
    <x v="0"/>
    <x v="4"/>
    <x v="2"/>
    <x v="1"/>
    <x v="1"/>
    <x v="1"/>
    <n v="2.8"/>
    <n v="2.8"/>
  </r>
  <r>
    <n v="1496"/>
    <x v="39"/>
    <x v="169"/>
    <x v="2"/>
    <x v="1"/>
    <x v="0"/>
    <x v="0"/>
    <x v="3"/>
    <x v="3"/>
    <n v="2.38"/>
    <n v="4.76"/>
  </r>
  <r>
    <n v="1497"/>
    <x v="126"/>
    <x v="149"/>
    <x v="5"/>
    <x v="5"/>
    <x v="2"/>
    <x v="0"/>
    <x v="8"/>
    <x v="3"/>
    <n v="2.9"/>
    <n v="5.8"/>
  </r>
  <r>
    <n v="1498"/>
    <x v="59"/>
    <x v="254"/>
    <x v="5"/>
    <x v="6"/>
    <x v="0"/>
    <x v="0"/>
    <x v="0"/>
    <x v="0"/>
    <n v="2.42"/>
    <n v="9.68"/>
  </r>
  <r>
    <n v="1499"/>
    <x v="104"/>
    <x v="34"/>
    <x v="3"/>
    <x v="2"/>
    <x v="2"/>
    <x v="2"/>
    <x v="2"/>
    <x v="4"/>
    <n v="2.5099999999999998"/>
    <n v="12.55"/>
  </r>
  <r>
    <n v="1500"/>
    <x v="145"/>
    <x v="249"/>
    <x v="0"/>
    <x v="1"/>
    <x v="1"/>
    <x v="3"/>
    <x v="9"/>
    <x v="3"/>
    <n v="5.87"/>
    <n v="11.74"/>
  </r>
  <r>
    <n v="1501"/>
    <x v="4"/>
    <x v="368"/>
    <x v="3"/>
    <x v="4"/>
    <x v="1"/>
    <x v="1"/>
    <x v="1"/>
    <x v="4"/>
    <n v="3.24"/>
    <n v="16.2"/>
  </r>
  <r>
    <n v="1502"/>
    <x v="31"/>
    <x v="248"/>
    <x v="4"/>
    <x v="4"/>
    <x v="2"/>
    <x v="2"/>
    <x v="2"/>
    <x v="3"/>
    <n v="3.98"/>
    <n v="7.96"/>
  </r>
  <r>
    <n v="1503"/>
    <x v="5"/>
    <x v="325"/>
    <x v="4"/>
    <x v="3"/>
    <x v="1"/>
    <x v="3"/>
    <x v="7"/>
    <x v="4"/>
    <n v="3.8"/>
    <n v="19"/>
  </r>
  <r>
    <n v="1504"/>
    <x v="19"/>
    <x v="369"/>
    <x v="3"/>
    <x v="6"/>
    <x v="0"/>
    <x v="2"/>
    <x v="5"/>
    <x v="2"/>
    <n v="2.4300000000000002"/>
    <n v="7.29"/>
  </r>
  <r>
    <n v="1505"/>
    <x v="163"/>
    <x v="144"/>
    <x v="4"/>
    <x v="4"/>
    <x v="0"/>
    <x v="1"/>
    <x v="1"/>
    <x v="2"/>
    <n v="3.29"/>
    <n v="9.8699999999999992"/>
  </r>
  <r>
    <n v="1506"/>
    <x v="125"/>
    <x v="79"/>
    <x v="1"/>
    <x v="4"/>
    <x v="2"/>
    <x v="3"/>
    <x v="7"/>
    <x v="1"/>
    <n v="2.5099999999999998"/>
    <n v="2.5099999999999998"/>
  </r>
  <r>
    <n v="1507"/>
    <x v="70"/>
    <x v="370"/>
    <x v="2"/>
    <x v="6"/>
    <x v="0"/>
    <x v="0"/>
    <x v="8"/>
    <x v="1"/>
    <n v="2.89"/>
    <n v="2.89"/>
  </r>
  <r>
    <n v="1508"/>
    <x v="167"/>
    <x v="305"/>
    <x v="0"/>
    <x v="0"/>
    <x v="1"/>
    <x v="0"/>
    <x v="0"/>
    <x v="3"/>
    <n v="3.26"/>
    <n v="6.52"/>
  </r>
  <r>
    <n v="1509"/>
    <x v="22"/>
    <x v="371"/>
    <x v="1"/>
    <x v="6"/>
    <x v="0"/>
    <x v="2"/>
    <x v="6"/>
    <x v="3"/>
    <n v="2.2200000000000002"/>
    <n v="4.4400000000000004"/>
  </r>
  <r>
    <n v="1510"/>
    <x v="149"/>
    <x v="372"/>
    <x v="1"/>
    <x v="2"/>
    <x v="0"/>
    <x v="1"/>
    <x v="1"/>
    <x v="3"/>
    <n v="5.71"/>
    <n v="11.42"/>
  </r>
  <r>
    <n v="1511"/>
    <x v="104"/>
    <x v="122"/>
    <x v="3"/>
    <x v="2"/>
    <x v="1"/>
    <x v="3"/>
    <x v="10"/>
    <x v="0"/>
    <n v="4.2699999999999996"/>
    <n v="17.079999999999998"/>
  </r>
  <r>
    <n v="1512"/>
    <x v="44"/>
    <x v="163"/>
    <x v="1"/>
    <x v="1"/>
    <x v="2"/>
    <x v="0"/>
    <x v="0"/>
    <x v="2"/>
    <n v="3.88"/>
    <n v="11.64"/>
  </r>
  <r>
    <n v="1513"/>
    <x v="101"/>
    <x v="167"/>
    <x v="2"/>
    <x v="3"/>
    <x v="2"/>
    <x v="1"/>
    <x v="1"/>
    <x v="3"/>
    <n v="2.86"/>
    <n v="5.72"/>
  </r>
  <r>
    <n v="1514"/>
    <x v="36"/>
    <x v="373"/>
    <x v="1"/>
    <x v="1"/>
    <x v="1"/>
    <x v="0"/>
    <x v="0"/>
    <x v="3"/>
    <n v="2.8"/>
    <n v="5.6"/>
  </r>
  <r>
    <n v="1515"/>
    <x v="132"/>
    <x v="13"/>
    <x v="1"/>
    <x v="3"/>
    <x v="0"/>
    <x v="2"/>
    <x v="5"/>
    <x v="4"/>
    <n v="3.16"/>
    <n v="15.8"/>
  </r>
  <r>
    <n v="1516"/>
    <x v="30"/>
    <x v="374"/>
    <x v="2"/>
    <x v="0"/>
    <x v="1"/>
    <x v="1"/>
    <x v="1"/>
    <x v="1"/>
    <n v="5.43"/>
    <n v="5.43"/>
  </r>
  <r>
    <n v="1517"/>
    <x v="92"/>
    <x v="375"/>
    <x v="5"/>
    <x v="6"/>
    <x v="0"/>
    <x v="2"/>
    <x v="2"/>
    <x v="4"/>
    <n v="5.25"/>
    <n v="26.25"/>
  </r>
  <r>
    <n v="1518"/>
    <x v="153"/>
    <x v="350"/>
    <x v="2"/>
    <x v="6"/>
    <x v="0"/>
    <x v="0"/>
    <x v="3"/>
    <x v="2"/>
    <n v="3"/>
    <n v="9"/>
  </r>
  <r>
    <n v="1519"/>
    <x v="0"/>
    <x v="376"/>
    <x v="0"/>
    <x v="0"/>
    <x v="2"/>
    <x v="0"/>
    <x v="0"/>
    <x v="4"/>
    <n v="5.87"/>
    <n v="29.35"/>
  </r>
  <r>
    <n v="1520"/>
    <x v="59"/>
    <x v="377"/>
    <x v="5"/>
    <x v="6"/>
    <x v="2"/>
    <x v="1"/>
    <x v="1"/>
    <x v="1"/>
    <n v="3.47"/>
    <n v="3.47"/>
  </r>
  <r>
    <n v="1521"/>
    <x v="154"/>
    <x v="4"/>
    <x v="2"/>
    <x v="2"/>
    <x v="2"/>
    <x v="0"/>
    <x v="8"/>
    <x v="1"/>
    <n v="4.46"/>
    <n v="4.46"/>
  </r>
  <r>
    <n v="1522"/>
    <x v="48"/>
    <x v="195"/>
    <x v="3"/>
    <x v="1"/>
    <x v="2"/>
    <x v="1"/>
    <x v="1"/>
    <x v="1"/>
    <n v="2.9"/>
    <n v="2.9"/>
  </r>
  <r>
    <n v="1523"/>
    <x v="62"/>
    <x v="34"/>
    <x v="5"/>
    <x v="5"/>
    <x v="1"/>
    <x v="3"/>
    <x v="9"/>
    <x v="4"/>
    <n v="4.28"/>
    <n v="21.4"/>
  </r>
  <r>
    <n v="1524"/>
    <x v="6"/>
    <x v="84"/>
    <x v="4"/>
    <x v="3"/>
    <x v="0"/>
    <x v="3"/>
    <x v="9"/>
    <x v="3"/>
    <n v="2.5"/>
    <n v="5"/>
  </r>
  <r>
    <n v="1525"/>
    <x v="99"/>
    <x v="186"/>
    <x v="2"/>
    <x v="5"/>
    <x v="1"/>
    <x v="2"/>
    <x v="2"/>
    <x v="0"/>
    <n v="3.7"/>
    <n v="14.8"/>
  </r>
  <r>
    <n v="1526"/>
    <x v="61"/>
    <x v="200"/>
    <x v="0"/>
    <x v="6"/>
    <x v="0"/>
    <x v="0"/>
    <x v="8"/>
    <x v="4"/>
    <n v="2.74"/>
    <n v="13.7"/>
  </r>
  <r>
    <n v="1527"/>
    <x v="60"/>
    <x v="88"/>
    <x v="5"/>
    <x v="1"/>
    <x v="2"/>
    <x v="1"/>
    <x v="1"/>
    <x v="2"/>
    <n v="3.31"/>
    <n v="9.93"/>
  </r>
  <r>
    <n v="1528"/>
    <x v="17"/>
    <x v="378"/>
    <x v="0"/>
    <x v="4"/>
    <x v="1"/>
    <x v="0"/>
    <x v="0"/>
    <x v="0"/>
    <n v="3.78"/>
    <n v="15.12"/>
  </r>
  <r>
    <n v="1529"/>
    <x v="155"/>
    <x v="379"/>
    <x v="5"/>
    <x v="2"/>
    <x v="2"/>
    <x v="1"/>
    <x v="1"/>
    <x v="2"/>
    <n v="2.5499999999999998"/>
    <n v="7.65"/>
  </r>
  <r>
    <n v="1530"/>
    <x v="166"/>
    <x v="264"/>
    <x v="1"/>
    <x v="3"/>
    <x v="1"/>
    <x v="0"/>
    <x v="8"/>
    <x v="1"/>
    <n v="3.9"/>
    <n v="3.9"/>
  </r>
  <r>
    <n v="1531"/>
    <x v="13"/>
    <x v="90"/>
    <x v="2"/>
    <x v="4"/>
    <x v="0"/>
    <x v="0"/>
    <x v="3"/>
    <x v="2"/>
    <n v="5.69"/>
    <n v="17.07"/>
  </r>
  <r>
    <n v="1532"/>
    <x v="40"/>
    <x v="380"/>
    <x v="2"/>
    <x v="5"/>
    <x v="0"/>
    <x v="0"/>
    <x v="0"/>
    <x v="3"/>
    <n v="3.78"/>
    <n v="7.56"/>
  </r>
  <r>
    <n v="1533"/>
    <x v="19"/>
    <x v="381"/>
    <x v="3"/>
    <x v="6"/>
    <x v="2"/>
    <x v="1"/>
    <x v="1"/>
    <x v="3"/>
    <n v="4.46"/>
    <n v="8.92"/>
  </r>
  <r>
    <n v="1534"/>
    <x v="134"/>
    <x v="341"/>
    <x v="3"/>
    <x v="2"/>
    <x v="2"/>
    <x v="2"/>
    <x v="5"/>
    <x v="1"/>
    <n v="5.9"/>
    <n v="5.9"/>
  </r>
  <r>
    <n v="1535"/>
    <x v="158"/>
    <x v="315"/>
    <x v="1"/>
    <x v="1"/>
    <x v="1"/>
    <x v="1"/>
    <x v="1"/>
    <x v="3"/>
    <n v="3.13"/>
    <n v="6.26"/>
  </r>
  <r>
    <n v="1536"/>
    <x v="111"/>
    <x v="46"/>
    <x v="2"/>
    <x v="0"/>
    <x v="2"/>
    <x v="3"/>
    <x v="9"/>
    <x v="3"/>
    <n v="5.26"/>
    <n v="10.52"/>
  </r>
  <r>
    <n v="1537"/>
    <x v="153"/>
    <x v="382"/>
    <x v="2"/>
    <x v="6"/>
    <x v="0"/>
    <x v="1"/>
    <x v="1"/>
    <x v="1"/>
    <n v="2.72"/>
    <n v="2.72"/>
  </r>
  <r>
    <n v="1538"/>
    <x v="91"/>
    <x v="383"/>
    <x v="2"/>
    <x v="4"/>
    <x v="0"/>
    <x v="2"/>
    <x v="6"/>
    <x v="2"/>
    <n v="5.18"/>
    <n v="15.54"/>
  </r>
  <r>
    <n v="1539"/>
    <x v="123"/>
    <x v="384"/>
    <x v="1"/>
    <x v="3"/>
    <x v="2"/>
    <x v="0"/>
    <x v="8"/>
    <x v="4"/>
    <n v="5.36"/>
    <n v="26.8"/>
  </r>
  <r>
    <n v="1540"/>
    <x v="39"/>
    <x v="174"/>
    <x v="2"/>
    <x v="1"/>
    <x v="1"/>
    <x v="2"/>
    <x v="5"/>
    <x v="0"/>
    <n v="2.69"/>
    <n v="10.76"/>
  </r>
  <r>
    <n v="1541"/>
    <x v="72"/>
    <x v="203"/>
    <x v="5"/>
    <x v="0"/>
    <x v="0"/>
    <x v="1"/>
    <x v="1"/>
    <x v="4"/>
    <n v="2.83"/>
    <n v="14.15"/>
  </r>
  <r>
    <n v="1542"/>
    <x v="172"/>
    <x v="385"/>
    <x v="4"/>
    <x v="1"/>
    <x v="2"/>
    <x v="1"/>
    <x v="1"/>
    <x v="2"/>
    <n v="6"/>
    <n v="18"/>
  </r>
  <r>
    <n v="1543"/>
    <x v="125"/>
    <x v="198"/>
    <x v="1"/>
    <x v="4"/>
    <x v="1"/>
    <x v="0"/>
    <x v="0"/>
    <x v="1"/>
    <n v="3.44"/>
    <n v="3.44"/>
  </r>
  <r>
    <n v="1544"/>
    <x v="21"/>
    <x v="386"/>
    <x v="5"/>
    <x v="1"/>
    <x v="1"/>
    <x v="1"/>
    <x v="1"/>
    <x v="3"/>
    <n v="2.4"/>
    <n v="4.8"/>
  </r>
  <r>
    <n v="1545"/>
    <x v="140"/>
    <x v="387"/>
    <x v="3"/>
    <x v="1"/>
    <x v="1"/>
    <x v="0"/>
    <x v="0"/>
    <x v="1"/>
    <n v="5.79"/>
    <n v="5.79"/>
  </r>
  <r>
    <n v="1546"/>
    <x v="126"/>
    <x v="388"/>
    <x v="5"/>
    <x v="5"/>
    <x v="0"/>
    <x v="2"/>
    <x v="4"/>
    <x v="2"/>
    <n v="3.57"/>
    <n v="10.71"/>
  </r>
  <r>
    <n v="1547"/>
    <x v="137"/>
    <x v="389"/>
    <x v="4"/>
    <x v="1"/>
    <x v="0"/>
    <x v="2"/>
    <x v="2"/>
    <x v="2"/>
    <n v="3.71"/>
    <n v="11.13"/>
  </r>
  <r>
    <n v="1548"/>
    <x v="18"/>
    <x v="390"/>
    <x v="2"/>
    <x v="2"/>
    <x v="0"/>
    <x v="2"/>
    <x v="2"/>
    <x v="0"/>
    <n v="3.29"/>
    <n v="13.16"/>
  </r>
  <r>
    <n v="1549"/>
    <x v="157"/>
    <x v="256"/>
    <x v="0"/>
    <x v="0"/>
    <x v="2"/>
    <x v="0"/>
    <x v="0"/>
    <x v="1"/>
    <n v="3.8"/>
    <n v="3.8"/>
  </r>
  <r>
    <n v="1550"/>
    <x v="61"/>
    <x v="265"/>
    <x v="0"/>
    <x v="6"/>
    <x v="0"/>
    <x v="0"/>
    <x v="3"/>
    <x v="4"/>
    <n v="3.2"/>
    <n v="16"/>
  </r>
  <r>
    <n v="1551"/>
    <x v="20"/>
    <x v="194"/>
    <x v="4"/>
    <x v="3"/>
    <x v="0"/>
    <x v="1"/>
    <x v="1"/>
    <x v="1"/>
    <n v="4"/>
    <n v="4"/>
  </r>
  <r>
    <n v="1552"/>
    <x v="78"/>
    <x v="391"/>
    <x v="4"/>
    <x v="2"/>
    <x v="0"/>
    <x v="1"/>
    <x v="1"/>
    <x v="1"/>
    <n v="4.26"/>
    <n v="4.26"/>
  </r>
  <r>
    <n v="1553"/>
    <x v="71"/>
    <x v="161"/>
    <x v="0"/>
    <x v="6"/>
    <x v="2"/>
    <x v="3"/>
    <x v="10"/>
    <x v="0"/>
    <n v="5.73"/>
    <n v="22.92"/>
  </r>
  <r>
    <n v="1554"/>
    <x v="15"/>
    <x v="392"/>
    <x v="4"/>
    <x v="4"/>
    <x v="2"/>
    <x v="0"/>
    <x v="3"/>
    <x v="3"/>
    <n v="4.22"/>
    <n v="8.44"/>
  </r>
  <r>
    <n v="1555"/>
    <x v="167"/>
    <x v="392"/>
    <x v="0"/>
    <x v="0"/>
    <x v="0"/>
    <x v="2"/>
    <x v="5"/>
    <x v="2"/>
    <n v="4.08"/>
    <n v="12.24"/>
  </r>
  <r>
    <n v="1556"/>
    <x v="144"/>
    <x v="320"/>
    <x v="0"/>
    <x v="5"/>
    <x v="2"/>
    <x v="3"/>
    <x v="9"/>
    <x v="4"/>
    <n v="3.06"/>
    <n v="15.3"/>
  </r>
  <r>
    <n v="1557"/>
    <x v="66"/>
    <x v="49"/>
    <x v="0"/>
    <x v="4"/>
    <x v="0"/>
    <x v="0"/>
    <x v="0"/>
    <x v="3"/>
    <n v="2.85"/>
    <n v="5.7"/>
  </r>
  <r>
    <n v="1558"/>
    <x v="46"/>
    <x v="393"/>
    <x v="1"/>
    <x v="6"/>
    <x v="0"/>
    <x v="3"/>
    <x v="7"/>
    <x v="4"/>
    <n v="5.07"/>
    <n v="25.35"/>
  </r>
  <r>
    <n v="1559"/>
    <x v="173"/>
    <x v="394"/>
    <x v="2"/>
    <x v="5"/>
    <x v="0"/>
    <x v="1"/>
    <x v="1"/>
    <x v="1"/>
    <n v="4.53"/>
    <n v="4.53"/>
  </r>
  <r>
    <n v="1560"/>
    <x v="10"/>
    <x v="395"/>
    <x v="3"/>
    <x v="1"/>
    <x v="2"/>
    <x v="0"/>
    <x v="8"/>
    <x v="4"/>
    <n v="5.09"/>
    <n v="25.45"/>
  </r>
  <r>
    <n v="1561"/>
    <x v="157"/>
    <x v="396"/>
    <x v="0"/>
    <x v="0"/>
    <x v="2"/>
    <x v="0"/>
    <x v="0"/>
    <x v="3"/>
    <n v="4.6900000000000004"/>
    <n v="9.3800000000000008"/>
  </r>
  <r>
    <n v="1562"/>
    <x v="2"/>
    <x v="397"/>
    <x v="1"/>
    <x v="2"/>
    <x v="1"/>
    <x v="3"/>
    <x v="10"/>
    <x v="0"/>
    <n v="2.5099999999999998"/>
    <n v="10.039999999999999"/>
  </r>
  <r>
    <n v="1563"/>
    <x v="80"/>
    <x v="10"/>
    <x v="3"/>
    <x v="1"/>
    <x v="2"/>
    <x v="2"/>
    <x v="6"/>
    <x v="1"/>
    <n v="2.98"/>
    <n v="2.98"/>
  </r>
  <r>
    <n v="1564"/>
    <x v="15"/>
    <x v="265"/>
    <x v="4"/>
    <x v="4"/>
    <x v="2"/>
    <x v="3"/>
    <x v="9"/>
    <x v="3"/>
    <n v="2.48"/>
    <n v="4.96"/>
  </r>
  <r>
    <n v="1565"/>
    <x v="113"/>
    <x v="58"/>
    <x v="5"/>
    <x v="3"/>
    <x v="0"/>
    <x v="3"/>
    <x v="7"/>
    <x v="4"/>
    <n v="2.65"/>
    <n v="13.25"/>
  </r>
  <r>
    <n v="1566"/>
    <x v="92"/>
    <x v="201"/>
    <x v="5"/>
    <x v="6"/>
    <x v="0"/>
    <x v="3"/>
    <x v="9"/>
    <x v="3"/>
    <n v="2.4300000000000002"/>
    <n v="4.8600000000000003"/>
  </r>
  <r>
    <n v="1567"/>
    <x v="153"/>
    <x v="398"/>
    <x v="2"/>
    <x v="6"/>
    <x v="0"/>
    <x v="2"/>
    <x v="5"/>
    <x v="1"/>
    <n v="5.19"/>
    <n v="5.19"/>
  </r>
  <r>
    <n v="1568"/>
    <x v="108"/>
    <x v="399"/>
    <x v="0"/>
    <x v="1"/>
    <x v="2"/>
    <x v="1"/>
    <x v="1"/>
    <x v="3"/>
    <n v="5.08"/>
    <n v="10.16"/>
  </r>
  <r>
    <n v="1569"/>
    <x v="15"/>
    <x v="400"/>
    <x v="4"/>
    <x v="4"/>
    <x v="1"/>
    <x v="1"/>
    <x v="1"/>
    <x v="2"/>
    <n v="4.55"/>
    <n v="13.65"/>
  </r>
  <r>
    <n v="1570"/>
    <x v="111"/>
    <x v="127"/>
    <x v="2"/>
    <x v="0"/>
    <x v="2"/>
    <x v="2"/>
    <x v="5"/>
    <x v="4"/>
    <n v="5.21"/>
    <n v="26.05"/>
  </r>
  <r>
    <n v="1571"/>
    <x v="112"/>
    <x v="307"/>
    <x v="1"/>
    <x v="0"/>
    <x v="2"/>
    <x v="1"/>
    <x v="1"/>
    <x v="3"/>
    <n v="5.43"/>
    <n v="10.86"/>
  </r>
  <r>
    <n v="1572"/>
    <x v="165"/>
    <x v="5"/>
    <x v="2"/>
    <x v="3"/>
    <x v="2"/>
    <x v="0"/>
    <x v="0"/>
    <x v="2"/>
    <n v="5.7"/>
    <n v="17.100000000000001"/>
  </r>
  <r>
    <n v="1573"/>
    <x v="73"/>
    <x v="200"/>
    <x v="4"/>
    <x v="5"/>
    <x v="0"/>
    <x v="0"/>
    <x v="8"/>
    <x v="2"/>
    <n v="2.25"/>
    <n v="6.75"/>
  </r>
  <r>
    <n v="1574"/>
    <x v="101"/>
    <x v="367"/>
    <x v="2"/>
    <x v="3"/>
    <x v="1"/>
    <x v="0"/>
    <x v="0"/>
    <x v="0"/>
    <n v="3.3"/>
    <n v="13.2"/>
  </r>
  <r>
    <n v="1575"/>
    <x v="88"/>
    <x v="401"/>
    <x v="3"/>
    <x v="3"/>
    <x v="1"/>
    <x v="3"/>
    <x v="9"/>
    <x v="2"/>
    <n v="5.62"/>
    <n v="16.86"/>
  </r>
  <r>
    <n v="1576"/>
    <x v="152"/>
    <x v="402"/>
    <x v="4"/>
    <x v="5"/>
    <x v="0"/>
    <x v="1"/>
    <x v="1"/>
    <x v="3"/>
    <n v="3.8"/>
    <n v="7.6"/>
  </r>
  <r>
    <n v="1577"/>
    <x v="129"/>
    <x v="403"/>
    <x v="4"/>
    <x v="2"/>
    <x v="2"/>
    <x v="2"/>
    <x v="2"/>
    <x v="4"/>
    <n v="3.94"/>
    <n v="19.7"/>
  </r>
  <r>
    <n v="1578"/>
    <x v="170"/>
    <x v="182"/>
    <x v="5"/>
    <x v="2"/>
    <x v="2"/>
    <x v="1"/>
    <x v="1"/>
    <x v="2"/>
    <n v="4.95"/>
    <n v="14.85"/>
  </r>
  <r>
    <n v="1579"/>
    <x v="15"/>
    <x v="385"/>
    <x v="4"/>
    <x v="4"/>
    <x v="0"/>
    <x v="3"/>
    <x v="10"/>
    <x v="2"/>
    <n v="3.89"/>
    <n v="11.67"/>
  </r>
  <r>
    <n v="1580"/>
    <x v="174"/>
    <x v="168"/>
    <x v="3"/>
    <x v="3"/>
    <x v="1"/>
    <x v="0"/>
    <x v="0"/>
    <x v="1"/>
    <n v="3.22"/>
    <n v="3.22"/>
  </r>
  <r>
    <n v="1581"/>
    <x v="47"/>
    <x v="209"/>
    <x v="2"/>
    <x v="5"/>
    <x v="1"/>
    <x v="2"/>
    <x v="6"/>
    <x v="1"/>
    <n v="3.73"/>
    <n v="3.73"/>
  </r>
  <r>
    <n v="1582"/>
    <x v="34"/>
    <x v="404"/>
    <x v="1"/>
    <x v="5"/>
    <x v="1"/>
    <x v="1"/>
    <x v="1"/>
    <x v="3"/>
    <n v="3.66"/>
    <n v="7.32"/>
  </r>
  <r>
    <n v="1583"/>
    <x v="64"/>
    <x v="405"/>
    <x v="1"/>
    <x v="1"/>
    <x v="0"/>
    <x v="0"/>
    <x v="3"/>
    <x v="3"/>
    <n v="2.09"/>
    <n v="4.18"/>
  </r>
  <r>
    <n v="1584"/>
    <x v="0"/>
    <x v="146"/>
    <x v="0"/>
    <x v="0"/>
    <x v="1"/>
    <x v="0"/>
    <x v="8"/>
    <x v="4"/>
    <n v="5.67"/>
    <n v="28.35"/>
  </r>
  <r>
    <n v="1585"/>
    <x v="103"/>
    <x v="17"/>
    <x v="4"/>
    <x v="1"/>
    <x v="1"/>
    <x v="3"/>
    <x v="7"/>
    <x v="1"/>
    <n v="2.87"/>
    <n v="2.87"/>
  </r>
  <r>
    <n v="1586"/>
    <x v="44"/>
    <x v="32"/>
    <x v="1"/>
    <x v="1"/>
    <x v="2"/>
    <x v="1"/>
    <x v="1"/>
    <x v="4"/>
    <n v="2.34"/>
    <n v="11.7"/>
  </r>
  <r>
    <n v="1587"/>
    <x v="49"/>
    <x v="406"/>
    <x v="5"/>
    <x v="0"/>
    <x v="1"/>
    <x v="2"/>
    <x v="4"/>
    <x v="2"/>
    <n v="4.8499999999999996"/>
    <n v="14.55"/>
  </r>
  <r>
    <n v="1588"/>
    <x v="98"/>
    <x v="344"/>
    <x v="1"/>
    <x v="5"/>
    <x v="2"/>
    <x v="0"/>
    <x v="3"/>
    <x v="1"/>
    <n v="2.0299999999999998"/>
    <n v="2.0299999999999998"/>
  </r>
  <r>
    <n v="1589"/>
    <x v="33"/>
    <x v="184"/>
    <x v="3"/>
    <x v="6"/>
    <x v="2"/>
    <x v="3"/>
    <x v="10"/>
    <x v="0"/>
    <n v="5.05"/>
    <n v="20.2"/>
  </r>
  <r>
    <n v="1590"/>
    <x v="164"/>
    <x v="221"/>
    <x v="0"/>
    <x v="4"/>
    <x v="2"/>
    <x v="3"/>
    <x v="7"/>
    <x v="3"/>
    <n v="3.25"/>
    <n v="6.5"/>
  </r>
  <r>
    <n v="1591"/>
    <x v="140"/>
    <x v="407"/>
    <x v="3"/>
    <x v="1"/>
    <x v="1"/>
    <x v="1"/>
    <x v="1"/>
    <x v="3"/>
    <n v="2.62"/>
    <n v="5.24"/>
  </r>
  <r>
    <n v="1592"/>
    <x v="99"/>
    <x v="236"/>
    <x v="2"/>
    <x v="5"/>
    <x v="0"/>
    <x v="1"/>
    <x v="1"/>
    <x v="3"/>
    <n v="3.79"/>
    <n v="7.58"/>
  </r>
  <r>
    <n v="1593"/>
    <x v="61"/>
    <x v="408"/>
    <x v="0"/>
    <x v="6"/>
    <x v="2"/>
    <x v="2"/>
    <x v="2"/>
    <x v="4"/>
    <n v="5.45"/>
    <n v="27.25"/>
  </r>
  <r>
    <n v="1594"/>
    <x v="153"/>
    <x v="229"/>
    <x v="2"/>
    <x v="6"/>
    <x v="2"/>
    <x v="1"/>
    <x v="1"/>
    <x v="0"/>
    <n v="3.54"/>
    <n v="14.16"/>
  </r>
  <r>
    <n v="1595"/>
    <x v="70"/>
    <x v="409"/>
    <x v="2"/>
    <x v="6"/>
    <x v="1"/>
    <x v="1"/>
    <x v="1"/>
    <x v="4"/>
    <n v="2.8"/>
    <n v="14"/>
  </r>
  <r>
    <n v="1596"/>
    <x v="21"/>
    <x v="250"/>
    <x v="5"/>
    <x v="1"/>
    <x v="0"/>
    <x v="3"/>
    <x v="7"/>
    <x v="3"/>
    <n v="2.7"/>
    <n v="5.4"/>
  </r>
  <r>
    <n v="1597"/>
    <x v="90"/>
    <x v="410"/>
    <x v="5"/>
    <x v="4"/>
    <x v="0"/>
    <x v="2"/>
    <x v="4"/>
    <x v="2"/>
    <n v="4.6500000000000004"/>
    <n v="13.95"/>
  </r>
  <r>
    <n v="1598"/>
    <x v="29"/>
    <x v="411"/>
    <x v="5"/>
    <x v="5"/>
    <x v="1"/>
    <x v="1"/>
    <x v="1"/>
    <x v="0"/>
    <n v="2.7"/>
    <n v="10.8"/>
  </r>
  <r>
    <n v="1599"/>
    <x v="72"/>
    <x v="412"/>
    <x v="5"/>
    <x v="0"/>
    <x v="1"/>
    <x v="3"/>
    <x v="7"/>
    <x v="2"/>
    <n v="5.01"/>
    <n v="15.03"/>
  </r>
  <r>
    <n v="1600"/>
    <x v="154"/>
    <x v="413"/>
    <x v="2"/>
    <x v="2"/>
    <x v="2"/>
    <x v="3"/>
    <x v="7"/>
    <x v="3"/>
    <n v="4.45"/>
    <n v="8.9"/>
  </r>
  <r>
    <n v="1601"/>
    <x v="68"/>
    <x v="414"/>
    <x v="0"/>
    <x v="2"/>
    <x v="2"/>
    <x v="2"/>
    <x v="5"/>
    <x v="2"/>
    <n v="5.01"/>
    <n v="15.03"/>
  </r>
  <r>
    <n v="1602"/>
    <x v="58"/>
    <x v="104"/>
    <x v="3"/>
    <x v="6"/>
    <x v="2"/>
    <x v="1"/>
    <x v="1"/>
    <x v="2"/>
    <n v="2.0699999999999998"/>
    <n v="6.21"/>
  </r>
  <r>
    <n v="1603"/>
    <x v="61"/>
    <x v="415"/>
    <x v="0"/>
    <x v="6"/>
    <x v="0"/>
    <x v="3"/>
    <x v="10"/>
    <x v="2"/>
    <n v="3.91"/>
    <n v="11.73"/>
  </r>
  <r>
    <n v="1604"/>
    <x v="100"/>
    <x v="416"/>
    <x v="1"/>
    <x v="6"/>
    <x v="2"/>
    <x v="1"/>
    <x v="1"/>
    <x v="2"/>
    <n v="5.98"/>
    <n v="17.940000000000001"/>
  </r>
  <r>
    <n v="1605"/>
    <x v="34"/>
    <x v="66"/>
    <x v="1"/>
    <x v="5"/>
    <x v="2"/>
    <x v="3"/>
    <x v="7"/>
    <x v="3"/>
    <n v="2.3199999999999998"/>
    <n v="4.6399999999999997"/>
  </r>
  <r>
    <n v="1606"/>
    <x v="113"/>
    <x v="417"/>
    <x v="5"/>
    <x v="3"/>
    <x v="2"/>
    <x v="0"/>
    <x v="8"/>
    <x v="2"/>
    <n v="3.03"/>
    <n v="9.09"/>
  </r>
  <r>
    <n v="1607"/>
    <x v="153"/>
    <x v="418"/>
    <x v="2"/>
    <x v="6"/>
    <x v="1"/>
    <x v="1"/>
    <x v="1"/>
    <x v="4"/>
    <n v="3.17"/>
    <n v="15.85"/>
  </r>
  <r>
    <n v="1608"/>
    <x v="153"/>
    <x v="419"/>
    <x v="2"/>
    <x v="6"/>
    <x v="2"/>
    <x v="2"/>
    <x v="6"/>
    <x v="2"/>
    <n v="3.67"/>
    <n v="11.01"/>
  </r>
  <r>
    <n v="1609"/>
    <x v="171"/>
    <x v="420"/>
    <x v="5"/>
    <x v="1"/>
    <x v="0"/>
    <x v="0"/>
    <x v="3"/>
    <x v="2"/>
    <n v="2.82"/>
    <n v="8.4600000000000009"/>
  </r>
  <r>
    <n v="1610"/>
    <x v="113"/>
    <x v="128"/>
    <x v="5"/>
    <x v="3"/>
    <x v="2"/>
    <x v="0"/>
    <x v="3"/>
    <x v="0"/>
    <n v="2.65"/>
    <n v="10.6"/>
  </r>
  <r>
    <n v="1611"/>
    <x v="122"/>
    <x v="421"/>
    <x v="2"/>
    <x v="6"/>
    <x v="0"/>
    <x v="2"/>
    <x v="4"/>
    <x v="1"/>
    <n v="3.73"/>
    <n v="3.73"/>
  </r>
  <r>
    <n v="1612"/>
    <x v="13"/>
    <x v="422"/>
    <x v="2"/>
    <x v="4"/>
    <x v="0"/>
    <x v="0"/>
    <x v="3"/>
    <x v="0"/>
    <n v="2.64"/>
    <n v="10.56"/>
  </r>
  <r>
    <n v="1613"/>
    <x v="19"/>
    <x v="409"/>
    <x v="3"/>
    <x v="6"/>
    <x v="0"/>
    <x v="0"/>
    <x v="3"/>
    <x v="4"/>
    <n v="5.55"/>
    <n v="27.75"/>
  </r>
  <r>
    <n v="1614"/>
    <x v="11"/>
    <x v="303"/>
    <x v="4"/>
    <x v="0"/>
    <x v="2"/>
    <x v="0"/>
    <x v="0"/>
    <x v="1"/>
    <n v="2.19"/>
    <n v="2.19"/>
  </r>
  <r>
    <n v="1615"/>
    <x v="59"/>
    <x v="187"/>
    <x v="5"/>
    <x v="6"/>
    <x v="1"/>
    <x v="3"/>
    <x v="10"/>
    <x v="0"/>
    <n v="4.66"/>
    <n v="18.64"/>
  </r>
  <r>
    <n v="1616"/>
    <x v="87"/>
    <x v="329"/>
    <x v="4"/>
    <x v="6"/>
    <x v="1"/>
    <x v="1"/>
    <x v="1"/>
    <x v="0"/>
    <n v="5.07"/>
    <n v="20.28"/>
  </r>
  <r>
    <n v="1617"/>
    <x v="104"/>
    <x v="423"/>
    <x v="3"/>
    <x v="2"/>
    <x v="1"/>
    <x v="3"/>
    <x v="10"/>
    <x v="3"/>
    <n v="3.01"/>
    <n v="6.02"/>
  </r>
  <r>
    <n v="1618"/>
    <x v="0"/>
    <x v="424"/>
    <x v="0"/>
    <x v="0"/>
    <x v="2"/>
    <x v="2"/>
    <x v="4"/>
    <x v="1"/>
    <n v="5.31"/>
    <n v="5.31"/>
  </r>
  <r>
    <n v="1619"/>
    <x v="27"/>
    <x v="186"/>
    <x v="1"/>
    <x v="6"/>
    <x v="0"/>
    <x v="1"/>
    <x v="1"/>
    <x v="2"/>
    <n v="5.0199999999999996"/>
    <n v="15.06"/>
  </r>
  <r>
    <n v="1620"/>
    <x v="5"/>
    <x v="425"/>
    <x v="4"/>
    <x v="3"/>
    <x v="2"/>
    <x v="3"/>
    <x v="10"/>
    <x v="3"/>
    <n v="2.86"/>
    <n v="5.72"/>
  </r>
  <r>
    <n v="1621"/>
    <x v="6"/>
    <x v="426"/>
    <x v="4"/>
    <x v="3"/>
    <x v="2"/>
    <x v="1"/>
    <x v="1"/>
    <x v="0"/>
    <n v="5.86"/>
    <n v="23.44"/>
  </r>
  <r>
    <n v="1622"/>
    <x v="27"/>
    <x v="236"/>
    <x v="1"/>
    <x v="6"/>
    <x v="1"/>
    <x v="0"/>
    <x v="0"/>
    <x v="1"/>
    <n v="4.54"/>
    <n v="4.54"/>
  </r>
  <r>
    <n v="1623"/>
    <x v="77"/>
    <x v="422"/>
    <x v="3"/>
    <x v="3"/>
    <x v="2"/>
    <x v="0"/>
    <x v="8"/>
    <x v="3"/>
    <n v="2.57"/>
    <n v="5.14"/>
  </r>
  <r>
    <n v="1624"/>
    <x v="110"/>
    <x v="427"/>
    <x v="0"/>
    <x v="6"/>
    <x v="0"/>
    <x v="2"/>
    <x v="4"/>
    <x v="4"/>
    <n v="4.96"/>
    <n v="24.8"/>
  </r>
  <r>
    <n v="1625"/>
    <x v="114"/>
    <x v="420"/>
    <x v="4"/>
    <x v="2"/>
    <x v="1"/>
    <x v="2"/>
    <x v="2"/>
    <x v="3"/>
    <n v="2.39"/>
    <n v="4.78"/>
  </r>
  <r>
    <n v="1626"/>
    <x v="143"/>
    <x v="38"/>
    <x v="4"/>
    <x v="0"/>
    <x v="2"/>
    <x v="3"/>
    <x v="10"/>
    <x v="1"/>
    <n v="3.27"/>
    <n v="3.27"/>
  </r>
  <r>
    <n v="1627"/>
    <x v="116"/>
    <x v="69"/>
    <x v="4"/>
    <x v="6"/>
    <x v="0"/>
    <x v="0"/>
    <x v="3"/>
    <x v="2"/>
    <n v="6"/>
    <n v="18"/>
  </r>
  <r>
    <n v="1628"/>
    <x v="37"/>
    <x v="132"/>
    <x v="1"/>
    <x v="2"/>
    <x v="0"/>
    <x v="3"/>
    <x v="9"/>
    <x v="2"/>
    <n v="5.22"/>
    <n v="15.66"/>
  </r>
  <r>
    <n v="1629"/>
    <x v="0"/>
    <x v="128"/>
    <x v="0"/>
    <x v="0"/>
    <x v="1"/>
    <x v="1"/>
    <x v="1"/>
    <x v="2"/>
    <n v="5.21"/>
    <n v="15.63"/>
  </r>
  <r>
    <n v="1630"/>
    <x v="142"/>
    <x v="428"/>
    <x v="5"/>
    <x v="3"/>
    <x v="0"/>
    <x v="1"/>
    <x v="1"/>
    <x v="3"/>
    <n v="5.07"/>
    <n v="10.14"/>
  </r>
  <r>
    <n v="1631"/>
    <x v="84"/>
    <x v="429"/>
    <x v="5"/>
    <x v="6"/>
    <x v="2"/>
    <x v="2"/>
    <x v="6"/>
    <x v="2"/>
    <n v="2.34"/>
    <n v="7.02"/>
  </r>
  <r>
    <n v="1632"/>
    <x v="14"/>
    <x v="430"/>
    <x v="5"/>
    <x v="4"/>
    <x v="0"/>
    <x v="3"/>
    <x v="7"/>
    <x v="0"/>
    <n v="3.45"/>
    <n v="13.8"/>
  </r>
  <r>
    <n v="1633"/>
    <x v="144"/>
    <x v="161"/>
    <x v="0"/>
    <x v="5"/>
    <x v="0"/>
    <x v="3"/>
    <x v="7"/>
    <x v="1"/>
    <n v="4.29"/>
    <n v="4.29"/>
  </r>
  <r>
    <n v="1634"/>
    <x v="136"/>
    <x v="401"/>
    <x v="4"/>
    <x v="3"/>
    <x v="2"/>
    <x v="3"/>
    <x v="7"/>
    <x v="0"/>
    <n v="3.67"/>
    <n v="14.68"/>
  </r>
  <r>
    <n v="1635"/>
    <x v="121"/>
    <x v="431"/>
    <x v="3"/>
    <x v="2"/>
    <x v="0"/>
    <x v="0"/>
    <x v="3"/>
    <x v="0"/>
    <n v="2.75"/>
    <n v="11"/>
  </r>
  <r>
    <n v="1636"/>
    <x v="62"/>
    <x v="250"/>
    <x v="5"/>
    <x v="5"/>
    <x v="0"/>
    <x v="0"/>
    <x v="8"/>
    <x v="1"/>
    <n v="4.58"/>
    <n v="4.58"/>
  </r>
  <r>
    <n v="1637"/>
    <x v="175"/>
    <x v="286"/>
    <x v="1"/>
    <x v="6"/>
    <x v="2"/>
    <x v="2"/>
    <x v="4"/>
    <x v="1"/>
    <n v="4.07"/>
    <n v="4.07"/>
  </r>
  <r>
    <n v="1638"/>
    <x v="114"/>
    <x v="432"/>
    <x v="4"/>
    <x v="2"/>
    <x v="0"/>
    <x v="3"/>
    <x v="7"/>
    <x v="1"/>
    <n v="3.16"/>
    <n v="3.16"/>
  </r>
  <r>
    <n v="1639"/>
    <x v="50"/>
    <x v="94"/>
    <x v="4"/>
    <x v="6"/>
    <x v="0"/>
    <x v="0"/>
    <x v="0"/>
    <x v="4"/>
    <n v="3.5"/>
    <n v="17.5"/>
  </r>
  <r>
    <n v="1640"/>
    <x v="173"/>
    <x v="433"/>
    <x v="2"/>
    <x v="5"/>
    <x v="2"/>
    <x v="2"/>
    <x v="2"/>
    <x v="4"/>
    <n v="5.52"/>
    <n v="27.6"/>
  </r>
  <r>
    <n v="1641"/>
    <x v="90"/>
    <x v="434"/>
    <x v="5"/>
    <x v="4"/>
    <x v="1"/>
    <x v="3"/>
    <x v="7"/>
    <x v="1"/>
    <n v="2.34"/>
    <n v="2.34"/>
  </r>
  <r>
    <n v="1642"/>
    <x v="135"/>
    <x v="5"/>
    <x v="0"/>
    <x v="1"/>
    <x v="0"/>
    <x v="2"/>
    <x v="5"/>
    <x v="1"/>
    <n v="2.76"/>
    <n v="2.76"/>
  </r>
  <r>
    <n v="1643"/>
    <x v="175"/>
    <x v="435"/>
    <x v="1"/>
    <x v="6"/>
    <x v="2"/>
    <x v="1"/>
    <x v="1"/>
    <x v="0"/>
    <n v="2.7"/>
    <n v="10.8"/>
  </r>
  <r>
    <n v="1644"/>
    <x v="170"/>
    <x v="179"/>
    <x v="5"/>
    <x v="2"/>
    <x v="0"/>
    <x v="0"/>
    <x v="3"/>
    <x v="3"/>
    <n v="5.84"/>
    <n v="11.68"/>
  </r>
  <r>
    <n v="1645"/>
    <x v="5"/>
    <x v="414"/>
    <x v="4"/>
    <x v="3"/>
    <x v="2"/>
    <x v="2"/>
    <x v="5"/>
    <x v="2"/>
    <n v="4.67"/>
    <n v="14.01"/>
  </r>
  <r>
    <n v="1646"/>
    <x v="175"/>
    <x v="120"/>
    <x v="1"/>
    <x v="6"/>
    <x v="0"/>
    <x v="2"/>
    <x v="5"/>
    <x v="0"/>
    <n v="3.69"/>
    <n v="14.76"/>
  </r>
  <r>
    <n v="1647"/>
    <x v="4"/>
    <x v="436"/>
    <x v="3"/>
    <x v="4"/>
    <x v="2"/>
    <x v="0"/>
    <x v="0"/>
    <x v="4"/>
    <n v="3.1"/>
    <n v="15.5"/>
  </r>
  <r>
    <n v="1648"/>
    <x v="161"/>
    <x v="227"/>
    <x v="5"/>
    <x v="2"/>
    <x v="1"/>
    <x v="0"/>
    <x v="0"/>
    <x v="0"/>
    <n v="2.8"/>
    <n v="11.2"/>
  </r>
  <r>
    <n v="1649"/>
    <x v="119"/>
    <x v="155"/>
    <x v="2"/>
    <x v="1"/>
    <x v="0"/>
    <x v="2"/>
    <x v="2"/>
    <x v="1"/>
    <n v="4.6900000000000004"/>
    <n v="4.6900000000000004"/>
  </r>
  <r>
    <n v="1650"/>
    <x v="31"/>
    <x v="254"/>
    <x v="4"/>
    <x v="4"/>
    <x v="1"/>
    <x v="1"/>
    <x v="1"/>
    <x v="3"/>
    <n v="4.24"/>
    <n v="8.48"/>
  </r>
  <r>
    <n v="1651"/>
    <x v="74"/>
    <x v="437"/>
    <x v="3"/>
    <x v="5"/>
    <x v="0"/>
    <x v="3"/>
    <x v="7"/>
    <x v="3"/>
    <n v="5.43"/>
    <n v="10.86"/>
  </r>
  <r>
    <n v="1652"/>
    <x v="51"/>
    <x v="438"/>
    <x v="1"/>
    <x v="3"/>
    <x v="1"/>
    <x v="0"/>
    <x v="8"/>
    <x v="3"/>
    <n v="3.07"/>
    <n v="6.14"/>
  </r>
  <r>
    <n v="1653"/>
    <x v="139"/>
    <x v="349"/>
    <x v="4"/>
    <x v="0"/>
    <x v="1"/>
    <x v="1"/>
    <x v="1"/>
    <x v="0"/>
    <n v="4.33"/>
    <n v="17.32"/>
  </r>
  <r>
    <n v="1654"/>
    <x v="112"/>
    <x v="439"/>
    <x v="1"/>
    <x v="0"/>
    <x v="0"/>
    <x v="1"/>
    <x v="1"/>
    <x v="1"/>
    <n v="2.52"/>
    <n v="2.52"/>
  </r>
  <r>
    <n v="1655"/>
    <x v="39"/>
    <x v="440"/>
    <x v="2"/>
    <x v="1"/>
    <x v="2"/>
    <x v="2"/>
    <x v="5"/>
    <x v="4"/>
    <n v="5.62"/>
    <n v="28.1"/>
  </r>
  <r>
    <n v="1656"/>
    <x v="130"/>
    <x v="441"/>
    <x v="3"/>
    <x v="4"/>
    <x v="0"/>
    <x v="0"/>
    <x v="8"/>
    <x v="4"/>
    <n v="4.58"/>
    <n v="22.9"/>
  </r>
  <r>
    <n v="1657"/>
    <x v="50"/>
    <x v="263"/>
    <x v="4"/>
    <x v="6"/>
    <x v="2"/>
    <x v="0"/>
    <x v="8"/>
    <x v="0"/>
    <n v="5.0999999999999996"/>
    <n v="20.399999999999999"/>
  </r>
  <r>
    <n v="1658"/>
    <x v="90"/>
    <x v="442"/>
    <x v="5"/>
    <x v="4"/>
    <x v="0"/>
    <x v="0"/>
    <x v="0"/>
    <x v="0"/>
    <n v="5.87"/>
    <n v="23.48"/>
  </r>
  <r>
    <n v="1659"/>
    <x v="167"/>
    <x v="443"/>
    <x v="0"/>
    <x v="0"/>
    <x v="1"/>
    <x v="0"/>
    <x v="3"/>
    <x v="2"/>
    <n v="4.28"/>
    <n v="12.84"/>
  </r>
  <r>
    <n v="1660"/>
    <x v="176"/>
    <x v="444"/>
    <x v="0"/>
    <x v="5"/>
    <x v="1"/>
    <x v="2"/>
    <x v="2"/>
    <x v="2"/>
    <n v="4.88"/>
    <n v="14.64"/>
  </r>
  <r>
    <n v="1661"/>
    <x v="113"/>
    <x v="171"/>
    <x v="5"/>
    <x v="3"/>
    <x v="0"/>
    <x v="1"/>
    <x v="1"/>
    <x v="1"/>
    <n v="2.08"/>
    <n v="2.08"/>
  </r>
  <r>
    <n v="1662"/>
    <x v="89"/>
    <x v="36"/>
    <x v="5"/>
    <x v="1"/>
    <x v="1"/>
    <x v="2"/>
    <x v="5"/>
    <x v="0"/>
    <n v="3.66"/>
    <n v="14.64"/>
  </r>
  <r>
    <n v="1663"/>
    <x v="144"/>
    <x v="445"/>
    <x v="0"/>
    <x v="5"/>
    <x v="0"/>
    <x v="2"/>
    <x v="6"/>
    <x v="0"/>
    <n v="2.94"/>
    <n v="11.76"/>
  </r>
  <r>
    <n v="1664"/>
    <x v="112"/>
    <x v="10"/>
    <x v="1"/>
    <x v="0"/>
    <x v="1"/>
    <x v="3"/>
    <x v="7"/>
    <x v="1"/>
    <n v="5.04"/>
    <n v="5.04"/>
  </r>
  <r>
    <n v="1665"/>
    <x v="158"/>
    <x v="446"/>
    <x v="1"/>
    <x v="1"/>
    <x v="0"/>
    <x v="2"/>
    <x v="6"/>
    <x v="3"/>
    <n v="4.87"/>
    <n v="9.74"/>
  </r>
  <r>
    <n v="1666"/>
    <x v="3"/>
    <x v="264"/>
    <x v="2"/>
    <x v="3"/>
    <x v="2"/>
    <x v="2"/>
    <x v="6"/>
    <x v="3"/>
    <n v="5.96"/>
    <n v="11.92"/>
  </r>
  <r>
    <n v="1667"/>
    <x v="86"/>
    <x v="282"/>
    <x v="2"/>
    <x v="5"/>
    <x v="2"/>
    <x v="2"/>
    <x v="5"/>
    <x v="1"/>
    <n v="3.09"/>
    <n v="3.09"/>
  </r>
  <r>
    <n v="1668"/>
    <x v="71"/>
    <x v="447"/>
    <x v="0"/>
    <x v="6"/>
    <x v="1"/>
    <x v="3"/>
    <x v="9"/>
    <x v="4"/>
    <n v="2.41"/>
    <n v="12.05"/>
  </r>
  <r>
    <n v="1669"/>
    <x v="175"/>
    <x v="448"/>
    <x v="1"/>
    <x v="6"/>
    <x v="2"/>
    <x v="1"/>
    <x v="1"/>
    <x v="0"/>
    <n v="2.4500000000000002"/>
    <n v="9.8000000000000007"/>
  </r>
  <r>
    <n v="1670"/>
    <x v="50"/>
    <x v="449"/>
    <x v="4"/>
    <x v="6"/>
    <x v="0"/>
    <x v="2"/>
    <x v="2"/>
    <x v="0"/>
    <n v="5.92"/>
    <n v="23.68"/>
  </r>
  <r>
    <n v="1671"/>
    <x v="64"/>
    <x v="450"/>
    <x v="1"/>
    <x v="1"/>
    <x v="2"/>
    <x v="3"/>
    <x v="10"/>
    <x v="2"/>
    <n v="4.95"/>
    <n v="14.85"/>
  </r>
  <r>
    <n v="1672"/>
    <x v="18"/>
    <x v="372"/>
    <x v="2"/>
    <x v="2"/>
    <x v="2"/>
    <x v="0"/>
    <x v="3"/>
    <x v="4"/>
    <n v="4.4000000000000004"/>
    <n v="22"/>
  </r>
  <r>
    <n v="1673"/>
    <x v="99"/>
    <x v="451"/>
    <x v="2"/>
    <x v="5"/>
    <x v="2"/>
    <x v="2"/>
    <x v="6"/>
    <x v="2"/>
    <n v="4.84"/>
    <n v="14.52"/>
  </r>
  <r>
    <n v="1674"/>
    <x v="53"/>
    <x v="452"/>
    <x v="0"/>
    <x v="0"/>
    <x v="1"/>
    <x v="1"/>
    <x v="1"/>
    <x v="3"/>
    <n v="3.9"/>
    <n v="7.8"/>
  </r>
  <r>
    <n v="1675"/>
    <x v="76"/>
    <x v="453"/>
    <x v="4"/>
    <x v="3"/>
    <x v="1"/>
    <x v="0"/>
    <x v="3"/>
    <x v="1"/>
    <n v="2.25"/>
    <n v="2.25"/>
  </r>
  <r>
    <n v="1676"/>
    <x v="25"/>
    <x v="412"/>
    <x v="1"/>
    <x v="5"/>
    <x v="2"/>
    <x v="1"/>
    <x v="1"/>
    <x v="1"/>
    <n v="5.91"/>
    <n v="5.91"/>
  </r>
  <r>
    <n v="1677"/>
    <x v="30"/>
    <x v="319"/>
    <x v="2"/>
    <x v="0"/>
    <x v="1"/>
    <x v="3"/>
    <x v="9"/>
    <x v="2"/>
    <n v="3.59"/>
    <n v="10.77"/>
  </r>
  <r>
    <n v="1678"/>
    <x v="52"/>
    <x v="454"/>
    <x v="0"/>
    <x v="3"/>
    <x v="2"/>
    <x v="2"/>
    <x v="6"/>
    <x v="3"/>
    <n v="5.98"/>
    <n v="11.96"/>
  </r>
  <r>
    <n v="1679"/>
    <x v="146"/>
    <x v="308"/>
    <x v="4"/>
    <x v="6"/>
    <x v="2"/>
    <x v="1"/>
    <x v="1"/>
    <x v="1"/>
    <n v="5.76"/>
    <n v="5.76"/>
  </r>
  <r>
    <n v="1680"/>
    <x v="84"/>
    <x v="178"/>
    <x v="5"/>
    <x v="6"/>
    <x v="0"/>
    <x v="0"/>
    <x v="3"/>
    <x v="1"/>
    <n v="5.34"/>
    <n v="5.34"/>
  </r>
  <r>
    <n v="1681"/>
    <x v="29"/>
    <x v="150"/>
    <x v="5"/>
    <x v="5"/>
    <x v="0"/>
    <x v="0"/>
    <x v="0"/>
    <x v="0"/>
    <n v="3.76"/>
    <n v="15.04"/>
  </r>
  <r>
    <n v="1682"/>
    <x v="160"/>
    <x v="455"/>
    <x v="1"/>
    <x v="2"/>
    <x v="0"/>
    <x v="3"/>
    <x v="10"/>
    <x v="2"/>
    <n v="2.91"/>
    <n v="8.73"/>
  </r>
  <r>
    <n v="1683"/>
    <x v="68"/>
    <x v="456"/>
    <x v="0"/>
    <x v="2"/>
    <x v="1"/>
    <x v="2"/>
    <x v="2"/>
    <x v="2"/>
    <n v="3.2"/>
    <n v="9.6"/>
  </r>
  <r>
    <n v="1684"/>
    <x v="75"/>
    <x v="457"/>
    <x v="2"/>
    <x v="2"/>
    <x v="0"/>
    <x v="3"/>
    <x v="9"/>
    <x v="2"/>
    <n v="2.4700000000000002"/>
    <n v="7.41"/>
  </r>
  <r>
    <n v="1685"/>
    <x v="124"/>
    <x v="458"/>
    <x v="3"/>
    <x v="0"/>
    <x v="0"/>
    <x v="3"/>
    <x v="7"/>
    <x v="2"/>
    <n v="5.27"/>
    <n v="15.81"/>
  </r>
  <r>
    <n v="1686"/>
    <x v="133"/>
    <x v="23"/>
    <x v="3"/>
    <x v="5"/>
    <x v="2"/>
    <x v="1"/>
    <x v="1"/>
    <x v="0"/>
    <n v="5.75"/>
    <n v="23"/>
  </r>
  <r>
    <n v="1687"/>
    <x v="53"/>
    <x v="459"/>
    <x v="0"/>
    <x v="0"/>
    <x v="0"/>
    <x v="0"/>
    <x v="0"/>
    <x v="1"/>
    <n v="5.07"/>
    <n v="5.07"/>
  </r>
  <r>
    <n v="1688"/>
    <x v="124"/>
    <x v="460"/>
    <x v="3"/>
    <x v="0"/>
    <x v="0"/>
    <x v="3"/>
    <x v="7"/>
    <x v="2"/>
    <n v="5.87"/>
    <n v="17.61"/>
  </r>
  <r>
    <n v="1689"/>
    <x v="16"/>
    <x v="461"/>
    <x v="0"/>
    <x v="2"/>
    <x v="2"/>
    <x v="0"/>
    <x v="3"/>
    <x v="1"/>
    <n v="4.43"/>
    <n v="4.43"/>
  </r>
  <r>
    <n v="1690"/>
    <x v="109"/>
    <x v="462"/>
    <x v="4"/>
    <x v="0"/>
    <x v="1"/>
    <x v="3"/>
    <x v="7"/>
    <x v="3"/>
    <n v="2.56"/>
    <n v="5.12"/>
  </r>
  <r>
    <n v="1691"/>
    <x v="136"/>
    <x v="463"/>
    <x v="4"/>
    <x v="3"/>
    <x v="0"/>
    <x v="3"/>
    <x v="10"/>
    <x v="3"/>
    <n v="4.62"/>
    <n v="9.24"/>
  </r>
  <r>
    <n v="1692"/>
    <x v="7"/>
    <x v="464"/>
    <x v="5"/>
    <x v="2"/>
    <x v="0"/>
    <x v="0"/>
    <x v="3"/>
    <x v="0"/>
    <n v="4.71"/>
    <n v="18.84"/>
  </r>
  <r>
    <n v="1693"/>
    <x v="71"/>
    <x v="465"/>
    <x v="0"/>
    <x v="6"/>
    <x v="2"/>
    <x v="3"/>
    <x v="10"/>
    <x v="2"/>
    <n v="4.22"/>
    <n v="12.66"/>
  </r>
  <r>
    <n v="1694"/>
    <x v="146"/>
    <x v="466"/>
    <x v="4"/>
    <x v="6"/>
    <x v="2"/>
    <x v="0"/>
    <x v="0"/>
    <x v="2"/>
    <n v="4.45"/>
    <n v="13.35"/>
  </r>
  <r>
    <n v="1695"/>
    <x v="3"/>
    <x v="467"/>
    <x v="2"/>
    <x v="3"/>
    <x v="0"/>
    <x v="3"/>
    <x v="7"/>
    <x v="4"/>
    <n v="4.33"/>
    <n v="21.65"/>
  </r>
  <r>
    <n v="1696"/>
    <x v="95"/>
    <x v="468"/>
    <x v="2"/>
    <x v="2"/>
    <x v="1"/>
    <x v="3"/>
    <x v="9"/>
    <x v="0"/>
    <n v="2.4500000000000002"/>
    <n v="9.8000000000000007"/>
  </r>
  <r>
    <n v="1697"/>
    <x v="177"/>
    <x v="225"/>
    <x v="5"/>
    <x v="6"/>
    <x v="1"/>
    <x v="3"/>
    <x v="7"/>
    <x v="3"/>
    <n v="3.75"/>
    <n v="7.5"/>
  </r>
  <r>
    <n v="1698"/>
    <x v="21"/>
    <x v="469"/>
    <x v="5"/>
    <x v="1"/>
    <x v="2"/>
    <x v="1"/>
    <x v="1"/>
    <x v="2"/>
    <n v="5.72"/>
    <n v="17.16"/>
  </r>
  <r>
    <n v="1699"/>
    <x v="2"/>
    <x v="102"/>
    <x v="1"/>
    <x v="2"/>
    <x v="0"/>
    <x v="1"/>
    <x v="1"/>
    <x v="2"/>
    <n v="4.04"/>
    <n v="12.12"/>
  </r>
  <r>
    <n v="1700"/>
    <x v="83"/>
    <x v="470"/>
    <x v="2"/>
    <x v="0"/>
    <x v="0"/>
    <x v="0"/>
    <x v="8"/>
    <x v="4"/>
    <n v="3.27"/>
    <n v="16.350000000000001"/>
  </r>
  <r>
    <n v="1701"/>
    <x v="14"/>
    <x v="380"/>
    <x v="5"/>
    <x v="4"/>
    <x v="2"/>
    <x v="0"/>
    <x v="8"/>
    <x v="0"/>
    <n v="3.98"/>
    <n v="15.92"/>
  </r>
  <r>
    <n v="1702"/>
    <x v="178"/>
    <x v="414"/>
    <x v="1"/>
    <x v="2"/>
    <x v="1"/>
    <x v="1"/>
    <x v="1"/>
    <x v="4"/>
    <n v="2.5499999999999998"/>
    <n v="12.75"/>
  </r>
  <r>
    <n v="1703"/>
    <x v="93"/>
    <x v="341"/>
    <x v="4"/>
    <x v="1"/>
    <x v="0"/>
    <x v="0"/>
    <x v="8"/>
    <x v="3"/>
    <n v="5.12"/>
    <n v="10.24"/>
  </r>
  <r>
    <n v="1704"/>
    <x v="160"/>
    <x v="471"/>
    <x v="1"/>
    <x v="2"/>
    <x v="2"/>
    <x v="0"/>
    <x v="3"/>
    <x v="2"/>
    <n v="2.71"/>
    <n v="8.1300000000000008"/>
  </r>
  <r>
    <n v="1705"/>
    <x v="112"/>
    <x v="393"/>
    <x v="1"/>
    <x v="0"/>
    <x v="0"/>
    <x v="2"/>
    <x v="5"/>
    <x v="1"/>
    <n v="2.29"/>
    <n v="2.29"/>
  </r>
  <r>
    <n v="1706"/>
    <x v="1"/>
    <x v="472"/>
    <x v="0"/>
    <x v="1"/>
    <x v="0"/>
    <x v="0"/>
    <x v="8"/>
    <x v="4"/>
    <n v="4.12"/>
    <n v="20.6"/>
  </r>
  <r>
    <n v="1707"/>
    <x v="169"/>
    <x v="309"/>
    <x v="0"/>
    <x v="3"/>
    <x v="1"/>
    <x v="0"/>
    <x v="0"/>
    <x v="2"/>
    <n v="5.41"/>
    <n v="16.23"/>
  </r>
  <r>
    <n v="1708"/>
    <x v="90"/>
    <x v="473"/>
    <x v="5"/>
    <x v="4"/>
    <x v="1"/>
    <x v="1"/>
    <x v="1"/>
    <x v="4"/>
    <n v="3.23"/>
    <n v="16.149999999999999"/>
  </r>
  <r>
    <n v="1709"/>
    <x v="7"/>
    <x v="286"/>
    <x v="5"/>
    <x v="2"/>
    <x v="0"/>
    <x v="0"/>
    <x v="3"/>
    <x v="2"/>
    <n v="2.11"/>
    <n v="6.33"/>
  </r>
  <r>
    <n v="1710"/>
    <x v="79"/>
    <x v="274"/>
    <x v="0"/>
    <x v="1"/>
    <x v="1"/>
    <x v="2"/>
    <x v="4"/>
    <x v="4"/>
    <n v="5.09"/>
    <n v="25.45"/>
  </r>
  <r>
    <n v="1711"/>
    <x v="160"/>
    <x v="183"/>
    <x v="1"/>
    <x v="2"/>
    <x v="0"/>
    <x v="0"/>
    <x v="8"/>
    <x v="4"/>
    <n v="2.64"/>
    <n v="13.2"/>
  </r>
  <r>
    <n v="1712"/>
    <x v="147"/>
    <x v="474"/>
    <x v="0"/>
    <x v="5"/>
    <x v="0"/>
    <x v="2"/>
    <x v="6"/>
    <x v="3"/>
    <n v="5.18"/>
    <n v="10.36"/>
  </r>
  <r>
    <n v="1713"/>
    <x v="153"/>
    <x v="475"/>
    <x v="2"/>
    <x v="6"/>
    <x v="1"/>
    <x v="2"/>
    <x v="2"/>
    <x v="3"/>
    <n v="5.72"/>
    <n v="11.44"/>
  </r>
  <r>
    <n v="1714"/>
    <x v="49"/>
    <x v="476"/>
    <x v="5"/>
    <x v="0"/>
    <x v="1"/>
    <x v="1"/>
    <x v="1"/>
    <x v="1"/>
    <n v="4.68"/>
    <n v="4.68"/>
  </r>
  <r>
    <n v="1715"/>
    <x v="83"/>
    <x v="163"/>
    <x v="2"/>
    <x v="0"/>
    <x v="1"/>
    <x v="2"/>
    <x v="2"/>
    <x v="0"/>
    <n v="3.33"/>
    <n v="13.32"/>
  </r>
  <r>
    <n v="1716"/>
    <x v="137"/>
    <x v="477"/>
    <x v="4"/>
    <x v="1"/>
    <x v="2"/>
    <x v="1"/>
    <x v="1"/>
    <x v="4"/>
    <n v="3.69"/>
    <n v="18.45"/>
  </r>
  <r>
    <n v="1717"/>
    <x v="128"/>
    <x v="478"/>
    <x v="5"/>
    <x v="5"/>
    <x v="1"/>
    <x v="3"/>
    <x v="7"/>
    <x v="1"/>
    <n v="5.09"/>
    <n v="5.09"/>
  </r>
  <r>
    <n v="1718"/>
    <x v="171"/>
    <x v="200"/>
    <x v="5"/>
    <x v="1"/>
    <x v="0"/>
    <x v="3"/>
    <x v="9"/>
    <x v="4"/>
    <n v="5.4"/>
    <n v="27"/>
  </r>
  <r>
    <n v="1719"/>
    <x v="128"/>
    <x v="337"/>
    <x v="5"/>
    <x v="5"/>
    <x v="1"/>
    <x v="2"/>
    <x v="2"/>
    <x v="3"/>
    <n v="3"/>
    <n v="6"/>
  </r>
  <r>
    <n v="1720"/>
    <x v="174"/>
    <x v="479"/>
    <x v="3"/>
    <x v="3"/>
    <x v="2"/>
    <x v="3"/>
    <x v="9"/>
    <x v="3"/>
    <n v="4.21"/>
    <n v="8.42"/>
  </r>
  <r>
    <n v="1721"/>
    <x v="134"/>
    <x v="108"/>
    <x v="3"/>
    <x v="2"/>
    <x v="1"/>
    <x v="1"/>
    <x v="1"/>
    <x v="4"/>
    <n v="5.47"/>
    <n v="27.35"/>
  </r>
  <r>
    <n v="1722"/>
    <x v="22"/>
    <x v="200"/>
    <x v="1"/>
    <x v="6"/>
    <x v="1"/>
    <x v="2"/>
    <x v="5"/>
    <x v="2"/>
    <n v="4.63"/>
    <n v="13.89"/>
  </r>
  <r>
    <n v="1723"/>
    <x v="9"/>
    <x v="480"/>
    <x v="3"/>
    <x v="0"/>
    <x v="1"/>
    <x v="1"/>
    <x v="1"/>
    <x v="1"/>
    <n v="3.83"/>
    <n v="3.83"/>
  </r>
  <r>
    <n v="1724"/>
    <x v="112"/>
    <x v="234"/>
    <x v="1"/>
    <x v="0"/>
    <x v="0"/>
    <x v="0"/>
    <x v="3"/>
    <x v="1"/>
    <n v="3.74"/>
    <n v="3.74"/>
  </r>
  <r>
    <n v="1725"/>
    <x v="146"/>
    <x v="330"/>
    <x v="4"/>
    <x v="6"/>
    <x v="0"/>
    <x v="0"/>
    <x v="0"/>
    <x v="2"/>
    <n v="3.19"/>
    <n v="9.57"/>
  </r>
  <r>
    <n v="1726"/>
    <x v="139"/>
    <x v="481"/>
    <x v="4"/>
    <x v="0"/>
    <x v="0"/>
    <x v="0"/>
    <x v="8"/>
    <x v="1"/>
    <n v="3.4"/>
    <n v="3.4"/>
  </r>
  <r>
    <n v="1727"/>
    <x v="35"/>
    <x v="461"/>
    <x v="5"/>
    <x v="0"/>
    <x v="1"/>
    <x v="1"/>
    <x v="1"/>
    <x v="1"/>
    <n v="2.62"/>
    <n v="2.62"/>
  </r>
  <r>
    <n v="1728"/>
    <x v="168"/>
    <x v="267"/>
    <x v="3"/>
    <x v="6"/>
    <x v="0"/>
    <x v="0"/>
    <x v="0"/>
    <x v="3"/>
    <n v="5.93"/>
    <n v="11.86"/>
  </r>
  <r>
    <n v="1729"/>
    <x v="69"/>
    <x v="482"/>
    <x v="3"/>
    <x v="5"/>
    <x v="0"/>
    <x v="2"/>
    <x v="2"/>
    <x v="3"/>
    <n v="2.64"/>
    <n v="5.28"/>
  </r>
  <r>
    <n v="1730"/>
    <x v="112"/>
    <x v="483"/>
    <x v="1"/>
    <x v="0"/>
    <x v="1"/>
    <x v="1"/>
    <x v="1"/>
    <x v="3"/>
    <n v="4.9000000000000004"/>
    <n v="9.8000000000000007"/>
  </r>
  <r>
    <n v="1731"/>
    <x v="30"/>
    <x v="484"/>
    <x v="2"/>
    <x v="0"/>
    <x v="2"/>
    <x v="3"/>
    <x v="9"/>
    <x v="2"/>
    <n v="5.5"/>
    <n v="16.5"/>
  </r>
  <r>
    <n v="1732"/>
    <x v="5"/>
    <x v="312"/>
    <x v="4"/>
    <x v="3"/>
    <x v="2"/>
    <x v="2"/>
    <x v="2"/>
    <x v="1"/>
    <n v="5.88"/>
    <n v="5.88"/>
  </r>
  <r>
    <n v="1733"/>
    <x v="145"/>
    <x v="296"/>
    <x v="0"/>
    <x v="1"/>
    <x v="2"/>
    <x v="3"/>
    <x v="10"/>
    <x v="2"/>
    <n v="4.12"/>
    <n v="12.36"/>
  </r>
  <r>
    <n v="1734"/>
    <x v="113"/>
    <x v="397"/>
    <x v="5"/>
    <x v="3"/>
    <x v="0"/>
    <x v="3"/>
    <x v="9"/>
    <x v="0"/>
    <n v="5.3"/>
    <n v="21.2"/>
  </r>
  <r>
    <n v="1735"/>
    <x v="29"/>
    <x v="354"/>
    <x v="5"/>
    <x v="5"/>
    <x v="0"/>
    <x v="0"/>
    <x v="0"/>
    <x v="0"/>
    <n v="4.7699999999999996"/>
    <n v="19.079999999999998"/>
  </r>
  <r>
    <n v="1736"/>
    <x v="119"/>
    <x v="156"/>
    <x v="2"/>
    <x v="1"/>
    <x v="1"/>
    <x v="1"/>
    <x v="1"/>
    <x v="3"/>
    <n v="3.72"/>
    <n v="7.44"/>
  </r>
  <r>
    <n v="1737"/>
    <x v="165"/>
    <x v="114"/>
    <x v="2"/>
    <x v="3"/>
    <x v="2"/>
    <x v="2"/>
    <x v="4"/>
    <x v="1"/>
    <n v="4.3899999999999997"/>
    <n v="4.3899999999999997"/>
  </r>
  <r>
    <n v="1738"/>
    <x v="10"/>
    <x v="5"/>
    <x v="3"/>
    <x v="1"/>
    <x v="2"/>
    <x v="3"/>
    <x v="10"/>
    <x v="2"/>
    <n v="5.43"/>
    <n v="16.29"/>
  </r>
  <r>
    <n v="1739"/>
    <x v="72"/>
    <x v="399"/>
    <x v="5"/>
    <x v="0"/>
    <x v="2"/>
    <x v="1"/>
    <x v="1"/>
    <x v="4"/>
    <n v="5.0999999999999996"/>
    <n v="25.5"/>
  </r>
  <r>
    <n v="1740"/>
    <x v="99"/>
    <x v="368"/>
    <x v="2"/>
    <x v="5"/>
    <x v="1"/>
    <x v="0"/>
    <x v="8"/>
    <x v="1"/>
    <n v="5.68"/>
    <n v="5.68"/>
  </r>
  <r>
    <n v="1741"/>
    <x v="88"/>
    <x v="364"/>
    <x v="3"/>
    <x v="3"/>
    <x v="1"/>
    <x v="1"/>
    <x v="1"/>
    <x v="3"/>
    <n v="5.05"/>
    <n v="10.1"/>
  </r>
  <r>
    <n v="1742"/>
    <x v="102"/>
    <x v="19"/>
    <x v="2"/>
    <x v="6"/>
    <x v="2"/>
    <x v="2"/>
    <x v="4"/>
    <x v="0"/>
    <n v="2.61"/>
    <n v="10.44"/>
  </r>
  <r>
    <n v="1743"/>
    <x v="80"/>
    <x v="438"/>
    <x v="3"/>
    <x v="1"/>
    <x v="0"/>
    <x v="1"/>
    <x v="1"/>
    <x v="4"/>
    <n v="2.17"/>
    <n v="10.85"/>
  </r>
  <r>
    <n v="1744"/>
    <x v="3"/>
    <x v="74"/>
    <x v="2"/>
    <x v="3"/>
    <x v="0"/>
    <x v="3"/>
    <x v="9"/>
    <x v="0"/>
    <n v="2.9"/>
    <n v="11.6"/>
  </r>
  <r>
    <n v="1745"/>
    <x v="165"/>
    <x v="314"/>
    <x v="2"/>
    <x v="3"/>
    <x v="2"/>
    <x v="2"/>
    <x v="2"/>
    <x v="0"/>
    <n v="3.04"/>
    <n v="12.16"/>
  </r>
  <r>
    <n v="1746"/>
    <x v="166"/>
    <x v="370"/>
    <x v="1"/>
    <x v="3"/>
    <x v="0"/>
    <x v="1"/>
    <x v="1"/>
    <x v="0"/>
    <n v="5.79"/>
    <n v="23.16"/>
  </r>
  <r>
    <n v="1747"/>
    <x v="44"/>
    <x v="72"/>
    <x v="1"/>
    <x v="1"/>
    <x v="0"/>
    <x v="0"/>
    <x v="0"/>
    <x v="4"/>
    <n v="4.8600000000000003"/>
    <n v="24.3"/>
  </r>
  <r>
    <n v="1748"/>
    <x v="38"/>
    <x v="485"/>
    <x v="4"/>
    <x v="2"/>
    <x v="1"/>
    <x v="1"/>
    <x v="1"/>
    <x v="0"/>
    <n v="3.02"/>
    <n v="12.08"/>
  </r>
  <r>
    <n v="1749"/>
    <x v="75"/>
    <x v="486"/>
    <x v="2"/>
    <x v="2"/>
    <x v="2"/>
    <x v="2"/>
    <x v="5"/>
    <x v="2"/>
    <n v="3.14"/>
    <n v="9.42"/>
  </r>
  <r>
    <n v="1750"/>
    <x v="49"/>
    <x v="465"/>
    <x v="5"/>
    <x v="0"/>
    <x v="0"/>
    <x v="0"/>
    <x v="8"/>
    <x v="2"/>
    <n v="3.96"/>
    <n v="11.88"/>
  </r>
  <r>
    <n v="1751"/>
    <x v="50"/>
    <x v="204"/>
    <x v="4"/>
    <x v="6"/>
    <x v="0"/>
    <x v="1"/>
    <x v="1"/>
    <x v="4"/>
    <n v="6"/>
    <n v="30"/>
  </r>
  <r>
    <n v="1752"/>
    <x v="26"/>
    <x v="487"/>
    <x v="0"/>
    <x v="4"/>
    <x v="1"/>
    <x v="1"/>
    <x v="1"/>
    <x v="2"/>
    <n v="3.84"/>
    <n v="11.52"/>
  </r>
  <r>
    <n v="1753"/>
    <x v="27"/>
    <x v="488"/>
    <x v="1"/>
    <x v="6"/>
    <x v="0"/>
    <x v="2"/>
    <x v="4"/>
    <x v="3"/>
    <n v="5.0999999999999996"/>
    <n v="10.199999999999999"/>
  </r>
  <r>
    <n v="1754"/>
    <x v="144"/>
    <x v="489"/>
    <x v="0"/>
    <x v="5"/>
    <x v="1"/>
    <x v="0"/>
    <x v="0"/>
    <x v="3"/>
    <n v="2.88"/>
    <n v="5.76"/>
  </r>
  <r>
    <n v="1755"/>
    <x v="96"/>
    <x v="319"/>
    <x v="3"/>
    <x v="0"/>
    <x v="1"/>
    <x v="3"/>
    <x v="7"/>
    <x v="0"/>
    <n v="4.17"/>
    <n v="16.68"/>
  </r>
  <r>
    <n v="1756"/>
    <x v="56"/>
    <x v="490"/>
    <x v="2"/>
    <x v="1"/>
    <x v="2"/>
    <x v="1"/>
    <x v="1"/>
    <x v="4"/>
    <n v="2.2400000000000002"/>
    <n v="11.2"/>
  </r>
  <r>
    <n v="1757"/>
    <x v="23"/>
    <x v="491"/>
    <x v="1"/>
    <x v="0"/>
    <x v="0"/>
    <x v="2"/>
    <x v="2"/>
    <x v="2"/>
    <n v="5.54"/>
    <n v="16.62"/>
  </r>
  <r>
    <n v="1758"/>
    <x v="77"/>
    <x v="492"/>
    <x v="3"/>
    <x v="3"/>
    <x v="2"/>
    <x v="1"/>
    <x v="1"/>
    <x v="3"/>
    <n v="2.08"/>
    <n v="4.16"/>
  </r>
  <r>
    <n v="1759"/>
    <x v="21"/>
    <x v="178"/>
    <x v="5"/>
    <x v="1"/>
    <x v="0"/>
    <x v="0"/>
    <x v="8"/>
    <x v="2"/>
    <n v="2.25"/>
    <n v="6.75"/>
  </r>
  <r>
    <n v="1760"/>
    <x v="139"/>
    <x v="330"/>
    <x v="4"/>
    <x v="0"/>
    <x v="1"/>
    <x v="0"/>
    <x v="0"/>
    <x v="0"/>
    <n v="3.41"/>
    <n v="13.64"/>
  </r>
  <r>
    <n v="1761"/>
    <x v="166"/>
    <x v="264"/>
    <x v="1"/>
    <x v="3"/>
    <x v="1"/>
    <x v="3"/>
    <x v="10"/>
    <x v="0"/>
    <n v="5.17"/>
    <n v="20.68"/>
  </r>
  <r>
    <n v="1762"/>
    <x v="56"/>
    <x v="437"/>
    <x v="2"/>
    <x v="1"/>
    <x v="2"/>
    <x v="1"/>
    <x v="1"/>
    <x v="2"/>
    <n v="5.47"/>
    <n v="16.41"/>
  </r>
  <r>
    <n v="1763"/>
    <x v="15"/>
    <x v="90"/>
    <x v="4"/>
    <x v="4"/>
    <x v="2"/>
    <x v="1"/>
    <x v="1"/>
    <x v="2"/>
    <n v="3.78"/>
    <n v="11.34"/>
  </r>
  <r>
    <n v="1764"/>
    <x v="129"/>
    <x v="454"/>
    <x v="4"/>
    <x v="2"/>
    <x v="0"/>
    <x v="2"/>
    <x v="6"/>
    <x v="3"/>
    <n v="2.14"/>
    <n v="4.28"/>
  </r>
  <r>
    <n v="1765"/>
    <x v="148"/>
    <x v="493"/>
    <x v="3"/>
    <x v="4"/>
    <x v="2"/>
    <x v="3"/>
    <x v="9"/>
    <x v="2"/>
    <n v="5.83"/>
    <n v="17.489999999999998"/>
  </r>
  <r>
    <n v="1766"/>
    <x v="104"/>
    <x v="109"/>
    <x v="3"/>
    <x v="2"/>
    <x v="1"/>
    <x v="3"/>
    <x v="10"/>
    <x v="2"/>
    <n v="5.15"/>
    <n v="15.45"/>
  </r>
  <r>
    <n v="1767"/>
    <x v="165"/>
    <x v="211"/>
    <x v="2"/>
    <x v="3"/>
    <x v="2"/>
    <x v="2"/>
    <x v="4"/>
    <x v="0"/>
    <n v="5.95"/>
    <n v="23.8"/>
  </r>
  <r>
    <n v="1768"/>
    <x v="142"/>
    <x v="205"/>
    <x v="5"/>
    <x v="3"/>
    <x v="1"/>
    <x v="0"/>
    <x v="8"/>
    <x v="3"/>
    <n v="4.67"/>
    <n v="9.34"/>
  </r>
  <r>
    <n v="1769"/>
    <x v="97"/>
    <x v="422"/>
    <x v="2"/>
    <x v="4"/>
    <x v="0"/>
    <x v="3"/>
    <x v="9"/>
    <x v="4"/>
    <n v="5.65"/>
    <n v="28.25"/>
  </r>
  <r>
    <n v="1770"/>
    <x v="99"/>
    <x v="39"/>
    <x v="2"/>
    <x v="5"/>
    <x v="0"/>
    <x v="3"/>
    <x v="7"/>
    <x v="2"/>
    <n v="3.32"/>
    <n v="9.9600000000000009"/>
  </r>
  <r>
    <n v="1771"/>
    <x v="24"/>
    <x v="494"/>
    <x v="4"/>
    <x v="4"/>
    <x v="0"/>
    <x v="2"/>
    <x v="2"/>
    <x v="1"/>
    <n v="5.32"/>
    <n v="5.32"/>
  </r>
  <r>
    <n v="1772"/>
    <x v="33"/>
    <x v="102"/>
    <x v="3"/>
    <x v="6"/>
    <x v="0"/>
    <x v="2"/>
    <x v="2"/>
    <x v="2"/>
    <n v="4.08"/>
    <n v="12.24"/>
  </r>
  <r>
    <n v="1773"/>
    <x v="36"/>
    <x v="4"/>
    <x v="1"/>
    <x v="1"/>
    <x v="0"/>
    <x v="0"/>
    <x v="0"/>
    <x v="1"/>
    <n v="5.54"/>
    <n v="5.54"/>
  </r>
  <r>
    <n v="1774"/>
    <x v="49"/>
    <x v="141"/>
    <x v="5"/>
    <x v="0"/>
    <x v="2"/>
    <x v="2"/>
    <x v="4"/>
    <x v="4"/>
    <n v="3.9"/>
    <n v="19.5"/>
  </r>
  <r>
    <n v="1775"/>
    <x v="15"/>
    <x v="265"/>
    <x v="4"/>
    <x v="4"/>
    <x v="2"/>
    <x v="3"/>
    <x v="10"/>
    <x v="4"/>
    <n v="5.46"/>
    <n v="27.3"/>
  </r>
  <r>
    <n v="1776"/>
    <x v="150"/>
    <x v="229"/>
    <x v="0"/>
    <x v="4"/>
    <x v="1"/>
    <x v="0"/>
    <x v="0"/>
    <x v="1"/>
    <n v="3.2"/>
    <n v="3.2"/>
  </r>
  <r>
    <n v="1777"/>
    <x v="38"/>
    <x v="495"/>
    <x v="4"/>
    <x v="2"/>
    <x v="0"/>
    <x v="0"/>
    <x v="3"/>
    <x v="2"/>
    <n v="3.34"/>
    <n v="10.02"/>
  </r>
  <r>
    <n v="1778"/>
    <x v="87"/>
    <x v="24"/>
    <x v="4"/>
    <x v="6"/>
    <x v="1"/>
    <x v="3"/>
    <x v="10"/>
    <x v="4"/>
    <n v="5.64"/>
    <n v="28.2"/>
  </r>
  <r>
    <n v="1779"/>
    <x v="21"/>
    <x v="496"/>
    <x v="5"/>
    <x v="1"/>
    <x v="1"/>
    <x v="0"/>
    <x v="0"/>
    <x v="4"/>
    <n v="3.13"/>
    <n v="15.65"/>
  </r>
  <r>
    <n v="1780"/>
    <x v="120"/>
    <x v="266"/>
    <x v="0"/>
    <x v="5"/>
    <x v="1"/>
    <x v="2"/>
    <x v="2"/>
    <x v="4"/>
    <n v="2.2000000000000002"/>
    <n v="11"/>
  </r>
  <r>
    <n v="1781"/>
    <x v="130"/>
    <x v="497"/>
    <x v="3"/>
    <x v="4"/>
    <x v="0"/>
    <x v="2"/>
    <x v="5"/>
    <x v="0"/>
    <n v="5.87"/>
    <n v="23.48"/>
  </r>
  <r>
    <n v="1782"/>
    <x v="128"/>
    <x v="498"/>
    <x v="5"/>
    <x v="5"/>
    <x v="0"/>
    <x v="3"/>
    <x v="10"/>
    <x v="2"/>
    <n v="3.83"/>
    <n v="11.49"/>
  </r>
  <r>
    <n v="1783"/>
    <x v="56"/>
    <x v="499"/>
    <x v="2"/>
    <x v="1"/>
    <x v="1"/>
    <x v="3"/>
    <x v="10"/>
    <x v="0"/>
    <n v="3.85"/>
    <n v="15.4"/>
  </r>
  <r>
    <n v="1784"/>
    <x v="111"/>
    <x v="326"/>
    <x v="2"/>
    <x v="0"/>
    <x v="0"/>
    <x v="1"/>
    <x v="1"/>
    <x v="0"/>
    <n v="2.58"/>
    <n v="10.32"/>
  </r>
  <r>
    <n v="1785"/>
    <x v="132"/>
    <x v="344"/>
    <x v="1"/>
    <x v="3"/>
    <x v="1"/>
    <x v="3"/>
    <x v="7"/>
    <x v="2"/>
    <n v="3.08"/>
    <n v="9.24"/>
  </r>
  <r>
    <n v="1786"/>
    <x v="82"/>
    <x v="500"/>
    <x v="0"/>
    <x v="3"/>
    <x v="2"/>
    <x v="1"/>
    <x v="1"/>
    <x v="1"/>
    <n v="3.52"/>
    <n v="3.52"/>
  </r>
  <r>
    <n v="1787"/>
    <x v="35"/>
    <x v="343"/>
    <x v="5"/>
    <x v="0"/>
    <x v="0"/>
    <x v="2"/>
    <x v="4"/>
    <x v="2"/>
    <n v="5.35"/>
    <n v="16.05"/>
  </r>
  <r>
    <n v="1788"/>
    <x v="65"/>
    <x v="366"/>
    <x v="5"/>
    <x v="3"/>
    <x v="0"/>
    <x v="2"/>
    <x v="6"/>
    <x v="0"/>
    <n v="5.4"/>
    <n v="21.6"/>
  </r>
  <r>
    <n v="1789"/>
    <x v="65"/>
    <x v="476"/>
    <x v="5"/>
    <x v="3"/>
    <x v="1"/>
    <x v="2"/>
    <x v="2"/>
    <x v="0"/>
    <n v="5.28"/>
    <n v="21.12"/>
  </r>
  <r>
    <n v="1790"/>
    <x v="13"/>
    <x v="501"/>
    <x v="2"/>
    <x v="4"/>
    <x v="1"/>
    <x v="1"/>
    <x v="1"/>
    <x v="2"/>
    <n v="5.74"/>
    <n v="17.22"/>
  </r>
  <r>
    <n v="1791"/>
    <x v="118"/>
    <x v="290"/>
    <x v="1"/>
    <x v="4"/>
    <x v="1"/>
    <x v="2"/>
    <x v="5"/>
    <x v="1"/>
    <n v="3.51"/>
    <n v="3.51"/>
  </r>
  <r>
    <n v="1792"/>
    <x v="14"/>
    <x v="157"/>
    <x v="5"/>
    <x v="4"/>
    <x v="0"/>
    <x v="0"/>
    <x v="0"/>
    <x v="3"/>
    <n v="4.04"/>
    <n v="8.08"/>
  </r>
  <r>
    <n v="1793"/>
    <x v="79"/>
    <x v="502"/>
    <x v="0"/>
    <x v="1"/>
    <x v="0"/>
    <x v="3"/>
    <x v="10"/>
    <x v="0"/>
    <n v="2.4900000000000002"/>
    <n v="9.9600000000000009"/>
  </r>
  <r>
    <n v="1794"/>
    <x v="122"/>
    <x v="126"/>
    <x v="2"/>
    <x v="6"/>
    <x v="1"/>
    <x v="2"/>
    <x v="4"/>
    <x v="1"/>
    <n v="2.08"/>
    <n v="2.08"/>
  </r>
  <r>
    <n v="1795"/>
    <x v="159"/>
    <x v="1"/>
    <x v="2"/>
    <x v="0"/>
    <x v="0"/>
    <x v="0"/>
    <x v="8"/>
    <x v="3"/>
    <n v="3.36"/>
    <n v="6.72"/>
  </r>
  <r>
    <n v="1796"/>
    <x v="11"/>
    <x v="227"/>
    <x v="4"/>
    <x v="0"/>
    <x v="1"/>
    <x v="3"/>
    <x v="9"/>
    <x v="3"/>
    <n v="2.5099999999999998"/>
    <n v="5.0199999999999996"/>
  </r>
  <r>
    <n v="1797"/>
    <x v="172"/>
    <x v="124"/>
    <x v="4"/>
    <x v="1"/>
    <x v="1"/>
    <x v="1"/>
    <x v="1"/>
    <x v="2"/>
    <n v="4.51"/>
    <n v="13.53"/>
  </r>
  <r>
    <n v="1798"/>
    <x v="164"/>
    <x v="498"/>
    <x v="0"/>
    <x v="4"/>
    <x v="1"/>
    <x v="3"/>
    <x v="10"/>
    <x v="4"/>
    <n v="5.71"/>
    <n v="28.55"/>
  </r>
  <r>
    <n v="1799"/>
    <x v="170"/>
    <x v="503"/>
    <x v="5"/>
    <x v="2"/>
    <x v="0"/>
    <x v="1"/>
    <x v="1"/>
    <x v="2"/>
    <n v="5.74"/>
    <n v="17.22"/>
  </r>
  <r>
    <n v="1800"/>
    <x v="151"/>
    <x v="29"/>
    <x v="5"/>
    <x v="0"/>
    <x v="1"/>
    <x v="0"/>
    <x v="8"/>
    <x v="4"/>
    <n v="3.65"/>
    <n v="18.25"/>
  </r>
  <r>
    <n v="1801"/>
    <x v="90"/>
    <x v="374"/>
    <x v="5"/>
    <x v="4"/>
    <x v="2"/>
    <x v="1"/>
    <x v="1"/>
    <x v="3"/>
    <n v="3.92"/>
    <n v="7.84"/>
  </r>
  <r>
    <n v="1802"/>
    <x v="106"/>
    <x v="36"/>
    <x v="2"/>
    <x v="1"/>
    <x v="1"/>
    <x v="2"/>
    <x v="4"/>
    <x v="4"/>
    <n v="3.89"/>
    <n v="19.45"/>
  </r>
  <r>
    <n v="1803"/>
    <x v="38"/>
    <x v="504"/>
    <x v="4"/>
    <x v="2"/>
    <x v="0"/>
    <x v="3"/>
    <x v="10"/>
    <x v="1"/>
    <n v="5.58"/>
    <n v="5.58"/>
  </r>
  <r>
    <n v="1804"/>
    <x v="112"/>
    <x v="83"/>
    <x v="1"/>
    <x v="0"/>
    <x v="1"/>
    <x v="1"/>
    <x v="1"/>
    <x v="0"/>
    <n v="2.35"/>
    <n v="9.4"/>
  </r>
  <r>
    <n v="1805"/>
    <x v="16"/>
    <x v="177"/>
    <x v="0"/>
    <x v="2"/>
    <x v="0"/>
    <x v="3"/>
    <x v="7"/>
    <x v="4"/>
    <n v="3.15"/>
    <n v="15.75"/>
  </r>
  <r>
    <n v="1806"/>
    <x v="32"/>
    <x v="70"/>
    <x v="1"/>
    <x v="4"/>
    <x v="0"/>
    <x v="1"/>
    <x v="1"/>
    <x v="3"/>
    <n v="4.71"/>
    <n v="9.42"/>
  </r>
  <r>
    <n v="1807"/>
    <x v="95"/>
    <x v="292"/>
    <x v="2"/>
    <x v="2"/>
    <x v="1"/>
    <x v="2"/>
    <x v="4"/>
    <x v="2"/>
    <n v="5.59"/>
    <n v="16.77"/>
  </r>
  <r>
    <n v="1808"/>
    <x v="27"/>
    <x v="505"/>
    <x v="1"/>
    <x v="6"/>
    <x v="0"/>
    <x v="0"/>
    <x v="0"/>
    <x v="4"/>
    <n v="5.19"/>
    <n v="25.95"/>
  </r>
  <r>
    <n v="1809"/>
    <x v="46"/>
    <x v="288"/>
    <x v="1"/>
    <x v="6"/>
    <x v="2"/>
    <x v="0"/>
    <x v="3"/>
    <x v="4"/>
    <n v="4.41"/>
    <n v="22.05"/>
  </r>
  <r>
    <n v="1810"/>
    <x v="142"/>
    <x v="460"/>
    <x v="5"/>
    <x v="3"/>
    <x v="1"/>
    <x v="2"/>
    <x v="4"/>
    <x v="2"/>
    <n v="3.2"/>
    <n v="9.6"/>
  </r>
  <r>
    <n v="1811"/>
    <x v="65"/>
    <x v="148"/>
    <x v="5"/>
    <x v="3"/>
    <x v="2"/>
    <x v="2"/>
    <x v="5"/>
    <x v="1"/>
    <n v="3.83"/>
    <n v="3.83"/>
  </r>
  <r>
    <n v="1812"/>
    <x v="176"/>
    <x v="506"/>
    <x v="0"/>
    <x v="5"/>
    <x v="1"/>
    <x v="3"/>
    <x v="10"/>
    <x v="4"/>
    <n v="3.66"/>
    <n v="18.3"/>
  </r>
  <r>
    <n v="1813"/>
    <x v="159"/>
    <x v="507"/>
    <x v="2"/>
    <x v="0"/>
    <x v="2"/>
    <x v="0"/>
    <x v="0"/>
    <x v="0"/>
    <n v="3.73"/>
    <n v="14.92"/>
  </r>
  <r>
    <n v="1814"/>
    <x v="154"/>
    <x v="313"/>
    <x v="2"/>
    <x v="2"/>
    <x v="0"/>
    <x v="3"/>
    <x v="10"/>
    <x v="0"/>
    <n v="3.84"/>
    <n v="15.36"/>
  </r>
  <r>
    <n v="1815"/>
    <x v="134"/>
    <x v="508"/>
    <x v="3"/>
    <x v="2"/>
    <x v="0"/>
    <x v="1"/>
    <x v="1"/>
    <x v="2"/>
    <n v="3.36"/>
    <n v="10.08"/>
  </r>
  <r>
    <n v="1816"/>
    <x v="42"/>
    <x v="7"/>
    <x v="1"/>
    <x v="0"/>
    <x v="2"/>
    <x v="1"/>
    <x v="1"/>
    <x v="1"/>
    <n v="4.05"/>
    <n v="4.05"/>
  </r>
  <r>
    <n v="1817"/>
    <x v="127"/>
    <x v="509"/>
    <x v="0"/>
    <x v="0"/>
    <x v="1"/>
    <x v="2"/>
    <x v="5"/>
    <x v="2"/>
    <n v="4.4000000000000004"/>
    <n v="13.2"/>
  </r>
  <r>
    <n v="1818"/>
    <x v="155"/>
    <x v="204"/>
    <x v="5"/>
    <x v="2"/>
    <x v="1"/>
    <x v="3"/>
    <x v="10"/>
    <x v="0"/>
    <n v="5.8"/>
    <n v="23.2"/>
  </r>
  <r>
    <n v="1819"/>
    <x v="47"/>
    <x v="319"/>
    <x v="2"/>
    <x v="5"/>
    <x v="1"/>
    <x v="1"/>
    <x v="1"/>
    <x v="3"/>
    <n v="5.43"/>
    <n v="10.86"/>
  </r>
  <r>
    <n v="1820"/>
    <x v="157"/>
    <x v="406"/>
    <x v="0"/>
    <x v="0"/>
    <x v="0"/>
    <x v="2"/>
    <x v="4"/>
    <x v="4"/>
    <n v="4.7"/>
    <n v="23.5"/>
  </r>
  <r>
    <n v="1821"/>
    <x v="110"/>
    <x v="125"/>
    <x v="0"/>
    <x v="6"/>
    <x v="2"/>
    <x v="2"/>
    <x v="4"/>
    <x v="0"/>
    <n v="2.38"/>
    <n v="9.52"/>
  </r>
  <r>
    <n v="1822"/>
    <x v="52"/>
    <x v="158"/>
    <x v="0"/>
    <x v="3"/>
    <x v="2"/>
    <x v="3"/>
    <x v="7"/>
    <x v="2"/>
    <n v="2.57"/>
    <n v="7.71"/>
  </r>
  <r>
    <n v="1823"/>
    <x v="76"/>
    <x v="141"/>
    <x v="4"/>
    <x v="3"/>
    <x v="0"/>
    <x v="0"/>
    <x v="8"/>
    <x v="1"/>
    <n v="5.47"/>
    <n v="5.47"/>
  </r>
  <r>
    <n v="1824"/>
    <x v="62"/>
    <x v="510"/>
    <x v="5"/>
    <x v="5"/>
    <x v="0"/>
    <x v="3"/>
    <x v="10"/>
    <x v="0"/>
    <n v="4.07"/>
    <n v="16.28"/>
  </r>
  <r>
    <n v="1825"/>
    <x v="60"/>
    <x v="511"/>
    <x v="5"/>
    <x v="1"/>
    <x v="0"/>
    <x v="1"/>
    <x v="1"/>
    <x v="3"/>
    <n v="4.87"/>
    <n v="9.74"/>
  </r>
  <r>
    <n v="1826"/>
    <x v="39"/>
    <x v="257"/>
    <x v="2"/>
    <x v="1"/>
    <x v="2"/>
    <x v="0"/>
    <x v="0"/>
    <x v="1"/>
    <n v="4.82"/>
    <n v="4.82"/>
  </r>
  <r>
    <n v="1827"/>
    <x v="114"/>
    <x v="261"/>
    <x v="4"/>
    <x v="2"/>
    <x v="0"/>
    <x v="0"/>
    <x v="0"/>
    <x v="4"/>
    <n v="2.19"/>
    <n v="10.95"/>
  </r>
  <r>
    <n v="1828"/>
    <x v="126"/>
    <x v="512"/>
    <x v="5"/>
    <x v="5"/>
    <x v="1"/>
    <x v="2"/>
    <x v="4"/>
    <x v="1"/>
    <n v="5.14"/>
    <n v="5.14"/>
  </r>
  <r>
    <n v="1829"/>
    <x v="68"/>
    <x v="270"/>
    <x v="0"/>
    <x v="2"/>
    <x v="0"/>
    <x v="3"/>
    <x v="9"/>
    <x v="2"/>
    <n v="2.33"/>
    <n v="6.99"/>
  </r>
  <r>
    <n v="1830"/>
    <x v="123"/>
    <x v="513"/>
    <x v="1"/>
    <x v="3"/>
    <x v="2"/>
    <x v="1"/>
    <x v="1"/>
    <x v="1"/>
    <n v="3.23"/>
    <n v="3.23"/>
  </r>
  <r>
    <n v="1831"/>
    <x v="159"/>
    <x v="175"/>
    <x v="2"/>
    <x v="0"/>
    <x v="2"/>
    <x v="2"/>
    <x v="5"/>
    <x v="4"/>
    <n v="4.5199999999999996"/>
    <n v="22.6"/>
  </r>
  <r>
    <n v="1832"/>
    <x v="24"/>
    <x v="94"/>
    <x v="4"/>
    <x v="4"/>
    <x v="0"/>
    <x v="1"/>
    <x v="1"/>
    <x v="2"/>
    <n v="3.77"/>
    <n v="11.31"/>
  </r>
  <r>
    <n v="1833"/>
    <x v="30"/>
    <x v="514"/>
    <x v="2"/>
    <x v="0"/>
    <x v="1"/>
    <x v="3"/>
    <x v="9"/>
    <x v="0"/>
    <n v="3.79"/>
    <n v="15.16"/>
  </r>
  <r>
    <n v="1834"/>
    <x v="13"/>
    <x v="515"/>
    <x v="2"/>
    <x v="4"/>
    <x v="2"/>
    <x v="1"/>
    <x v="1"/>
    <x v="0"/>
    <n v="2.09"/>
    <n v="8.36"/>
  </r>
  <r>
    <n v="1835"/>
    <x v="56"/>
    <x v="174"/>
    <x v="2"/>
    <x v="1"/>
    <x v="0"/>
    <x v="2"/>
    <x v="2"/>
    <x v="0"/>
    <n v="4.96"/>
    <n v="19.84"/>
  </r>
  <r>
    <n v="1836"/>
    <x v="163"/>
    <x v="485"/>
    <x v="4"/>
    <x v="4"/>
    <x v="1"/>
    <x v="0"/>
    <x v="3"/>
    <x v="4"/>
    <n v="2.4"/>
    <n v="12"/>
  </r>
  <r>
    <n v="1837"/>
    <x v="9"/>
    <x v="516"/>
    <x v="3"/>
    <x v="0"/>
    <x v="1"/>
    <x v="0"/>
    <x v="8"/>
    <x v="4"/>
    <n v="3.41"/>
    <n v="17.05"/>
  </r>
  <r>
    <n v="1838"/>
    <x v="153"/>
    <x v="37"/>
    <x v="2"/>
    <x v="6"/>
    <x v="1"/>
    <x v="0"/>
    <x v="8"/>
    <x v="4"/>
    <n v="2.27"/>
    <n v="11.35"/>
  </r>
  <r>
    <n v="1839"/>
    <x v="63"/>
    <x v="517"/>
    <x v="1"/>
    <x v="5"/>
    <x v="2"/>
    <x v="1"/>
    <x v="1"/>
    <x v="3"/>
    <n v="2.56"/>
    <n v="5.12"/>
  </r>
  <r>
    <n v="1840"/>
    <x v="43"/>
    <x v="518"/>
    <x v="0"/>
    <x v="3"/>
    <x v="0"/>
    <x v="3"/>
    <x v="7"/>
    <x v="0"/>
    <n v="2.65"/>
    <n v="10.6"/>
  </r>
  <r>
    <n v="1841"/>
    <x v="80"/>
    <x v="129"/>
    <x v="3"/>
    <x v="1"/>
    <x v="2"/>
    <x v="2"/>
    <x v="6"/>
    <x v="2"/>
    <n v="4.49"/>
    <n v="13.47"/>
  </r>
  <r>
    <n v="1842"/>
    <x v="53"/>
    <x v="519"/>
    <x v="0"/>
    <x v="0"/>
    <x v="1"/>
    <x v="1"/>
    <x v="1"/>
    <x v="2"/>
    <n v="2.72"/>
    <n v="8.16"/>
  </r>
  <r>
    <n v="1843"/>
    <x v="151"/>
    <x v="10"/>
    <x v="5"/>
    <x v="0"/>
    <x v="2"/>
    <x v="2"/>
    <x v="2"/>
    <x v="4"/>
    <n v="2.4"/>
    <n v="12"/>
  </r>
  <r>
    <n v="1844"/>
    <x v="44"/>
    <x v="520"/>
    <x v="1"/>
    <x v="1"/>
    <x v="0"/>
    <x v="1"/>
    <x v="1"/>
    <x v="0"/>
    <n v="2.77"/>
    <n v="11.08"/>
  </r>
  <r>
    <n v="1845"/>
    <x v="126"/>
    <x v="307"/>
    <x v="5"/>
    <x v="5"/>
    <x v="1"/>
    <x v="3"/>
    <x v="9"/>
    <x v="2"/>
    <n v="2.14"/>
    <n v="6.42"/>
  </r>
  <r>
    <n v="1846"/>
    <x v="26"/>
    <x v="521"/>
    <x v="0"/>
    <x v="4"/>
    <x v="2"/>
    <x v="3"/>
    <x v="10"/>
    <x v="0"/>
    <n v="4.67"/>
    <n v="18.68"/>
  </r>
  <r>
    <n v="1847"/>
    <x v="110"/>
    <x v="271"/>
    <x v="0"/>
    <x v="6"/>
    <x v="2"/>
    <x v="1"/>
    <x v="1"/>
    <x v="4"/>
    <n v="2.93"/>
    <n v="14.65"/>
  </r>
  <r>
    <n v="1848"/>
    <x v="81"/>
    <x v="522"/>
    <x v="3"/>
    <x v="1"/>
    <x v="2"/>
    <x v="2"/>
    <x v="4"/>
    <x v="0"/>
    <n v="3.75"/>
    <n v="15"/>
  </r>
  <r>
    <n v="1849"/>
    <x v="174"/>
    <x v="523"/>
    <x v="3"/>
    <x v="3"/>
    <x v="2"/>
    <x v="0"/>
    <x v="3"/>
    <x v="4"/>
    <n v="3.67"/>
    <n v="18.350000000000001"/>
  </r>
  <r>
    <n v="1850"/>
    <x v="27"/>
    <x v="219"/>
    <x v="1"/>
    <x v="6"/>
    <x v="2"/>
    <x v="2"/>
    <x v="5"/>
    <x v="0"/>
    <n v="5.2"/>
    <n v="20.8"/>
  </r>
  <r>
    <n v="1851"/>
    <x v="19"/>
    <x v="362"/>
    <x v="3"/>
    <x v="6"/>
    <x v="2"/>
    <x v="1"/>
    <x v="1"/>
    <x v="4"/>
    <n v="4.4400000000000004"/>
    <n v="22.2"/>
  </r>
  <r>
    <n v="1852"/>
    <x v="46"/>
    <x v="399"/>
    <x v="1"/>
    <x v="6"/>
    <x v="0"/>
    <x v="0"/>
    <x v="3"/>
    <x v="1"/>
    <n v="4.9400000000000004"/>
    <n v="4.9400000000000004"/>
  </r>
  <r>
    <n v="1853"/>
    <x v="20"/>
    <x v="153"/>
    <x v="4"/>
    <x v="3"/>
    <x v="1"/>
    <x v="3"/>
    <x v="10"/>
    <x v="4"/>
    <n v="2.8"/>
    <n v="14"/>
  </r>
  <r>
    <n v="1854"/>
    <x v="83"/>
    <x v="58"/>
    <x v="2"/>
    <x v="0"/>
    <x v="2"/>
    <x v="1"/>
    <x v="1"/>
    <x v="4"/>
    <n v="2.6"/>
    <n v="13"/>
  </r>
  <r>
    <n v="1855"/>
    <x v="177"/>
    <x v="71"/>
    <x v="5"/>
    <x v="6"/>
    <x v="0"/>
    <x v="2"/>
    <x v="4"/>
    <x v="1"/>
    <n v="4.1100000000000003"/>
    <n v="4.1100000000000003"/>
  </r>
  <r>
    <n v="1856"/>
    <x v="125"/>
    <x v="317"/>
    <x v="1"/>
    <x v="4"/>
    <x v="1"/>
    <x v="3"/>
    <x v="7"/>
    <x v="0"/>
    <n v="4.0599999999999996"/>
    <n v="16.239999999999998"/>
  </r>
  <r>
    <n v="1857"/>
    <x v="34"/>
    <x v="89"/>
    <x v="1"/>
    <x v="5"/>
    <x v="0"/>
    <x v="3"/>
    <x v="9"/>
    <x v="3"/>
    <n v="4.17"/>
    <n v="8.34"/>
  </r>
  <r>
    <n v="1858"/>
    <x v="174"/>
    <x v="488"/>
    <x v="3"/>
    <x v="3"/>
    <x v="0"/>
    <x v="3"/>
    <x v="7"/>
    <x v="0"/>
    <n v="2.19"/>
    <n v="8.76"/>
  </r>
  <r>
    <n v="1859"/>
    <x v="78"/>
    <x v="168"/>
    <x v="4"/>
    <x v="2"/>
    <x v="0"/>
    <x v="0"/>
    <x v="8"/>
    <x v="4"/>
    <n v="2.5"/>
    <n v="12.5"/>
  </r>
  <r>
    <n v="1860"/>
    <x v="16"/>
    <x v="524"/>
    <x v="0"/>
    <x v="2"/>
    <x v="0"/>
    <x v="1"/>
    <x v="1"/>
    <x v="1"/>
    <n v="5.8"/>
    <n v="5.8"/>
  </r>
  <r>
    <n v="1861"/>
    <x v="157"/>
    <x v="525"/>
    <x v="0"/>
    <x v="0"/>
    <x v="0"/>
    <x v="0"/>
    <x v="3"/>
    <x v="2"/>
    <n v="4.5999999999999996"/>
    <n v="13.8"/>
  </r>
  <r>
    <n v="1862"/>
    <x v="148"/>
    <x v="400"/>
    <x v="3"/>
    <x v="4"/>
    <x v="1"/>
    <x v="0"/>
    <x v="8"/>
    <x v="1"/>
    <n v="4.3899999999999997"/>
    <n v="4.3899999999999997"/>
  </r>
  <r>
    <n v="1863"/>
    <x v="120"/>
    <x v="526"/>
    <x v="0"/>
    <x v="5"/>
    <x v="2"/>
    <x v="1"/>
    <x v="1"/>
    <x v="3"/>
    <n v="2.96"/>
    <n v="5.92"/>
  </r>
  <r>
    <n v="1864"/>
    <x v="64"/>
    <x v="527"/>
    <x v="1"/>
    <x v="1"/>
    <x v="0"/>
    <x v="1"/>
    <x v="1"/>
    <x v="1"/>
    <n v="3.02"/>
    <n v="3.02"/>
  </r>
  <r>
    <n v="1865"/>
    <x v="34"/>
    <x v="528"/>
    <x v="1"/>
    <x v="5"/>
    <x v="1"/>
    <x v="3"/>
    <x v="10"/>
    <x v="0"/>
    <n v="3.77"/>
    <n v="15.08"/>
  </r>
  <r>
    <n v="1866"/>
    <x v="95"/>
    <x v="104"/>
    <x v="2"/>
    <x v="2"/>
    <x v="2"/>
    <x v="3"/>
    <x v="10"/>
    <x v="3"/>
    <n v="5.15"/>
    <n v="10.3"/>
  </r>
  <r>
    <n v="1867"/>
    <x v="6"/>
    <x v="529"/>
    <x v="4"/>
    <x v="3"/>
    <x v="0"/>
    <x v="0"/>
    <x v="3"/>
    <x v="1"/>
    <n v="5.84"/>
    <n v="5.84"/>
  </r>
  <r>
    <n v="1868"/>
    <x v="91"/>
    <x v="484"/>
    <x v="2"/>
    <x v="4"/>
    <x v="2"/>
    <x v="0"/>
    <x v="8"/>
    <x v="0"/>
    <n v="3.72"/>
    <n v="14.88"/>
  </r>
  <r>
    <n v="1869"/>
    <x v="94"/>
    <x v="335"/>
    <x v="0"/>
    <x v="6"/>
    <x v="2"/>
    <x v="3"/>
    <x v="10"/>
    <x v="2"/>
    <n v="3.69"/>
    <n v="11.07"/>
  </r>
  <r>
    <n v="1870"/>
    <x v="139"/>
    <x v="439"/>
    <x v="4"/>
    <x v="0"/>
    <x v="2"/>
    <x v="2"/>
    <x v="5"/>
    <x v="0"/>
    <n v="4.5599999999999996"/>
    <n v="18.239999999999998"/>
  </r>
  <r>
    <n v="1871"/>
    <x v="158"/>
    <x v="389"/>
    <x v="1"/>
    <x v="1"/>
    <x v="1"/>
    <x v="3"/>
    <x v="10"/>
    <x v="1"/>
    <n v="2.74"/>
    <n v="2.74"/>
  </r>
  <r>
    <n v="1872"/>
    <x v="93"/>
    <x v="530"/>
    <x v="4"/>
    <x v="1"/>
    <x v="2"/>
    <x v="1"/>
    <x v="1"/>
    <x v="0"/>
    <n v="4.6500000000000004"/>
    <n v="18.600000000000001"/>
  </r>
  <r>
    <n v="1873"/>
    <x v="125"/>
    <x v="12"/>
    <x v="1"/>
    <x v="4"/>
    <x v="2"/>
    <x v="3"/>
    <x v="10"/>
    <x v="1"/>
    <n v="2.86"/>
    <n v="2.86"/>
  </r>
  <r>
    <n v="1874"/>
    <x v="100"/>
    <x v="366"/>
    <x v="1"/>
    <x v="6"/>
    <x v="2"/>
    <x v="1"/>
    <x v="1"/>
    <x v="1"/>
    <n v="3.49"/>
    <n v="3.49"/>
  </r>
  <r>
    <n v="1875"/>
    <x v="4"/>
    <x v="392"/>
    <x v="3"/>
    <x v="4"/>
    <x v="1"/>
    <x v="2"/>
    <x v="5"/>
    <x v="3"/>
    <n v="5.38"/>
    <n v="10.76"/>
  </r>
  <r>
    <n v="1876"/>
    <x v="29"/>
    <x v="366"/>
    <x v="5"/>
    <x v="5"/>
    <x v="1"/>
    <x v="3"/>
    <x v="10"/>
    <x v="4"/>
    <n v="3.78"/>
    <n v="18.899999999999999"/>
  </r>
  <r>
    <n v="1877"/>
    <x v="179"/>
    <x v="204"/>
    <x v="5"/>
    <x v="2"/>
    <x v="1"/>
    <x v="3"/>
    <x v="9"/>
    <x v="4"/>
    <n v="2.77"/>
    <n v="13.85"/>
  </r>
  <r>
    <n v="1878"/>
    <x v="67"/>
    <x v="180"/>
    <x v="3"/>
    <x v="0"/>
    <x v="1"/>
    <x v="0"/>
    <x v="8"/>
    <x v="0"/>
    <n v="3.33"/>
    <n v="13.32"/>
  </r>
  <r>
    <n v="1879"/>
    <x v="51"/>
    <x v="204"/>
    <x v="1"/>
    <x v="3"/>
    <x v="2"/>
    <x v="2"/>
    <x v="4"/>
    <x v="0"/>
    <n v="4.6900000000000004"/>
    <n v="18.760000000000002"/>
  </r>
  <r>
    <n v="1880"/>
    <x v="148"/>
    <x v="531"/>
    <x v="3"/>
    <x v="4"/>
    <x v="0"/>
    <x v="1"/>
    <x v="1"/>
    <x v="2"/>
    <n v="2.42"/>
    <n v="7.26"/>
  </r>
  <r>
    <n v="1881"/>
    <x v="2"/>
    <x v="381"/>
    <x v="1"/>
    <x v="2"/>
    <x v="1"/>
    <x v="2"/>
    <x v="2"/>
    <x v="2"/>
    <n v="2.86"/>
    <n v="8.58"/>
  </r>
  <r>
    <n v="1882"/>
    <x v="76"/>
    <x v="532"/>
    <x v="4"/>
    <x v="3"/>
    <x v="0"/>
    <x v="3"/>
    <x v="10"/>
    <x v="3"/>
    <n v="2.11"/>
    <n v="4.22"/>
  </r>
  <r>
    <n v="1883"/>
    <x v="98"/>
    <x v="315"/>
    <x v="1"/>
    <x v="5"/>
    <x v="1"/>
    <x v="2"/>
    <x v="4"/>
    <x v="1"/>
    <n v="5.26"/>
    <n v="5.26"/>
  </r>
  <r>
    <n v="1884"/>
    <x v="31"/>
    <x v="437"/>
    <x v="4"/>
    <x v="4"/>
    <x v="0"/>
    <x v="0"/>
    <x v="8"/>
    <x v="2"/>
    <n v="4.0599999999999996"/>
    <n v="12.18"/>
  </r>
  <r>
    <n v="1885"/>
    <x v="82"/>
    <x v="533"/>
    <x v="0"/>
    <x v="3"/>
    <x v="1"/>
    <x v="3"/>
    <x v="7"/>
    <x v="4"/>
    <n v="2.36"/>
    <n v="11.8"/>
  </r>
  <r>
    <n v="1886"/>
    <x v="6"/>
    <x v="180"/>
    <x v="4"/>
    <x v="3"/>
    <x v="0"/>
    <x v="0"/>
    <x v="3"/>
    <x v="0"/>
    <n v="2.4900000000000002"/>
    <n v="9.9600000000000009"/>
  </r>
  <r>
    <n v="1887"/>
    <x v="7"/>
    <x v="235"/>
    <x v="5"/>
    <x v="2"/>
    <x v="1"/>
    <x v="0"/>
    <x v="3"/>
    <x v="4"/>
    <n v="3.62"/>
    <n v="18.100000000000001"/>
  </r>
  <r>
    <n v="1888"/>
    <x v="4"/>
    <x v="303"/>
    <x v="3"/>
    <x v="4"/>
    <x v="0"/>
    <x v="2"/>
    <x v="2"/>
    <x v="2"/>
    <n v="2.54"/>
    <n v="7.62"/>
  </r>
  <r>
    <n v="1889"/>
    <x v="43"/>
    <x v="381"/>
    <x v="0"/>
    <x v="3"/>
    <x v="2"/>
    <x v="0"/>
    <x v="0"/>
    <x v="4"/>
    <n v="3.99"/>
    <n v="19.95"/>
  </r>
  <r>
    <n v="1890"/>
    <x v="12"/>
    <x v="396"/>
    <x v="2"/>
    <x v="4"/>
    <x v="1"/>
    <x v="1"/>
    <x v="1"/>
    <x v="0"/>
    <n v="3.37"/>
    <n v="13.48"/>
  </r>
  <r>
    <n v="1891"/>
    <x v="32"/>
    <x v="72"/>
    <x v="1"/>
    <x v="4"/>
    <x v="1"/>
    <x v="3"/>
    <x v="7"/>
    <x v="0"/>
    <n v="3.89"/>
    <n v="15.56"/>
  </r>
  <r>
    <n v="1892"/>
    <x v="16"/>
    <x v="344"/>
    <x v="0"/>
    <x v="2"/>
    <x v="2"/>
    <x v="3"/>
    <x v="9"/>
    <x v="3"/>
    <n v="5.63"/>
    <n v="11.26"/>
  </r>
  <r>
    <n v="1893"/>
    <x v="92"/>
    <x v="534"/>
    <x v="5"/>
    <x v="6"/>
    <x v="0"/>
    <x v="1"/>
    <x v="1"/>
    <x v="0"/>
    <n v="4.2699999999999996"/>
    <n v="17.079999999999998"/>
  </r>
  <r>
    <n v="1894"/>
    <x v="66"/>
    <x v="381"/>
    <x v="0"/>
    <x v="4"/>
    <x v="2"/>
    <x v="2"/>
    <x v="6"/>
    <x v="3"/>
    <n v="4.8099999999999996"/>
    <n v="9.6199999999999992"/>
  </r>
  <r>
    <n v="1895"/>
    <x v="9"/>
    <x v="11"/>
    <x v="3"/>
    <x v="0"/>
    <x v="2"/>
    <x v="1"/>
    <x v="1"/>
    <x v="1"/>
    <n v="2.12"/>
    <n v="2.12"/>
  </r>
  <r>
    <n v="1896"/>
    <x v="27"/>
    <x v="223"/>
    <x v="1"/>
    <x v="6"/>
    <x v="0"/>
    <x v="0"/>
    <x v="3"/>
    <x v="0"/>
    <n v="4.09"/>
    <n v="16.36"/>
  </r>
  <r>
    <n v="1897"/>
    <x v="11"/>
    <x v="250"/>
    <x v="4"/>
    <x v="0"/>
    <x v="0"/>
    <x v="2"/>
    <x v="2"/>
    <x v="1"/>
    <n v="2.5499999999999998"/>
    <n v="2.5499999999999998"/>
  </r>
  <r>
    <n v="1898"/>
    <x v="162"/>
    <x v="387"/>
    <x v="1"/>
    <x v="5"/>
    <x v="1"/>
    <x v="3"/>
    <x v="7"/>
    <x v="3"/>
    <n v="2.75"/>
    <n v="5.5"/>
  </r>
  <r>
    <n v="1899"/>
    <x v="97"/>
    <x v="535"/>
    <x v="2"/>
    <x v="4"/>
    <x v="0"/>
    <x v="1"/>
    <x v="1"/>
    <x v="4"/>
    <n v="5.64"/>
    <n v="28.2"/>
  </r>
  <r>
    <n v="1900"/>
    <x v="59"/>
    <x v="523"/>
    <x v="5"/>
    <x v="6"/>
    <x v="2"/>
    <x v="0"/>
    <x v="3"/>
    <x v="3"/>
    <n v="4.08"/>
    <n v="8.16"/>
  </r>
  <r>
    <n v="1901"/>
    <x v="22"/>
    <x v="536"/>
    <x v="1"/>
    <x v="6"/>
    <x v="1"/>
    <x v="0"/>
    <x v="8"/>
    <x v="0"/>
    <n v="4.07"/>
    <n v="16.28"/>
  </r>
  <r>
    <n v="1902"/>
    <x v="89"/>
    <x v="208"/>
    <x v="5"/>
    <x v="1"/>
    <x v="1"/>
    <x v="0"/>
    <x v="0"/>
    <x v="4"/>
    <n v="5.42"/>
    <n v="27.1"/>
  </r>
  <r>
    <n v="1903"/>
    <x v="57"/>
    <x v="100"/>
    <x v="2"/>
    <x v="3"/>
    <x v="2"/>
    <x v="0"/>
    <x v="0"/>
    <x v="2"/>
    <n v="4.26"/>
    <n v="12.78"/>
  </r>
  <r>
    <n v="1904"/>
    <x v="59"/>
    <x v="526"/>
    <x v="5"/>
    <x v="6"/>
    <x v="2"/>
    <x v="1"/>
    <x v="1"/>
    <x v="0"/>
    <n v="3.72"/>
    <n v="14.88"/>
  </r>
  <r>
    <n v="1905"/>
    <x v="70"/>
    <x v="481"/>
    <x v="2"/>
    <x v="6"/>
    <x v="2"/>
    <x v="2"/>
    <x v="2"/>
    <x v="0"/>
    <n v="3.78"/>
    <n v="15.12"/>
  </r>
  <r>
    <n v="1906"/>
    <x v="77"/>
    <x v="98"/>
    <x v="3"/>
    <x v="3"/>
    <x v="0"/>
    <x v="0"/>
    <x v="3"/>
    <x v="2"/>
    <n v="3.49"/>
    <n v="10.47"/>
  </r>
  <r>
    <n v="1907"/>
    <x v="177"/>
    <x v="28"/>
    <x v="5"/>
    <x v="6"/>
    <x v="0"/>
    <x v="0"/>
    <x v="0"/>
    <x v="1"/>
    <n v="4.08"/>
    <n v="4.08"/>
  </r>
  <r>
    <n v="1908"/>
    <x v="127"/>
    <x v="17"/>
    <x v="0"/>
    <x v="0"/>
    <x v="1"/>
    <x v="2"/>
    <x v="2"/>
    <x v="1"/>
    <n v="4.97"/>
    <n v="4.97"/>
  </r>
  <r>
    <n v="1909"/>
    <x v="153"/>
    <x v="413"/>
    <x v="2"/>
    <x v="6"/>
    <x v="1"/>
    <x v="1"/>
    <x v="1"/>
    <x v="0"/>
    <n v="2.57"/>
    <n v="10.28"/>
  </r>
  <r>
    <n v="1910"/>
    <x v="73"/>
    <x v="455"/>
    <x v="4"/>
    <x v="5"/>
    <x v="0"/>
    <x v="2"/>
    <x v="5"/>
    <x v="2"/>
    <n v="3.17"/>
    <n v="9.51"/>
  </r>
  <r>
    <n v="1911"/>
    <x v="123"/>
    <x v="398"/>
    <x v="1"/>
    <x v="3"/>
    <x v="0"/>
    <x v="1"/>
    <x v="1"/>
    <x v="2"/>
    <n v="2.46"/>
    <n v="7.38"/>
  </r>
  <r>
    <n v="1912"/>
    <x v="145"/>
    <x v="406"/>
    <x v="0"/>
    <x v="1"/>
    <x v="2"/>
    <x v="3"/>
    <x v="7"/>
    <x v="3"/>
    <n v="5.62"/>
    <n v="11.24"/>
  </r>
  <r>
    <n v="1913"/>
    <x v="46"/>
    <x v="321"/>
    <x v="1"/>
    <x v="6"/>
    <x v="0"/>
    <x v="0"/>
    <x v="8"/>
    <x v="1"/>
    <n v="4.87"/>
    <n v="4.87"/>
  </r>
  <r>
    <n v="1914"/>
    <x v="21"/>
    <x v="197"/>
    <x v="5"/>
    <x v="1"/>
    <x v="0"/>
    <x v="1"/>
    <x v="1"/>
    <x v="1"/>
    <n v="2.93"/>
    <n v="2.93"/>
  </r>
  <r>
    <n v="1915"/>
    <x v="67"/>
    <x v="443"/>
    <x v="3"/>
    <x v="0"/>
    <x v="1"/>
    <x v="3"/>
    <x v="7"/>
    <x v="2"/>
    <n v="3.13"/>
    <n v="9.39"/>
  </r>
  <r>
    <n v="1916"/>
    <x v="19"/>
    <x v="537"/>
    <x v="3"/>
    <x v="6"/>
    <x v="0"/>
    <x v="2"/>
    <x v="4"/>
    <x v="3"/>
    <n v="2.63"/>
    <n v="5.26"/>
  </r>
  <r>
    <n v="1917"/>
    <x v="85"/>
    <x v="214"/>
    <x v="4"/>
    <x v="5"/>
    <x v="1"/>
    <x v="0"/>
    <x v="3"/>
    <x v="0"/>
    <n v="4.33"/>
    <n v="17.32"/>
  </r>
  <r>
    <n v="1918"/>
    <x v="40"/>
    <x v="503"/>
    <x v="2"/>
    <x v="5"/>
    <x v="2"/>
    <x v="2"/>
    <x v="2"/>
    <x v="1"/>
    <n v="2.39"/>
    <n v="2.39"/>
  </r>
  <r>
    <n v="1919"/>
    <x v="77"/>
    <x v="70"/>
    <x v="3"/>
    <x v="3"/>
    <x v="0"/>
    <x v="2"/>
    <x v="4"/>
    <x v="1"/>
    <n v="5.99"/>
    <n v="5.99"/>
  </r>
  <r>
    <n v="1920"/>
    <x v="126"/>
    <x v="470"/>
    <x v="5"/>
    <x v="5"/>
    <x v="0"/>
    <x v="1"/>
    <x v="1"/>
    <x v="1"/>
    <n v="5.36"/>
    <n v="5.36"/>
  </r>
  <r>
    <n v="1921"/>
    <x v="79"/>
    <x v="538"/>
    <x v="0"/>
    <x v="1"/>
    <x v="2"/>
    <x v="2"/>
    <x v="6"/>
    <x v="0"/>
    <n v="3.33"/>
    <n v="13.32"/>
  </r>
  <r>
    <n v="1922"/>
    <x v="125"/>
    <x v="29"/>
    <x v="1"/>
    <x v="4"/>
    <x v="1"/>
    <x v="3"/>
    <x v="7"/>
    <x v="4"/>
    <n v="3.01"/>
    <n v="15.05"/>
  </r>
  <r>
    <n v="1923"/>
    <x v="138"/>
    <x v="351"/>
    <x v="5"/>
    <x v="3"/>
    <x v="2"/>
    <x v="0"/>
    <x v="3"/>
    <x v="1"/>
    <n v="4.05"/>
    <n v="4.05"/>
  </r>
  <r>
    <n v="1924"/>
    <x v="73"/>
    <x v="457"/>
    <x v="4"/>
    <x v="5"/>
    <x v="2"/>
    <x v="1"/>
    <x v="1"/>
    <x v="1"/>
    <n v="2.4500000000000002"/>
    <n v="2.4500000000000002"/>
  </r>
  <r>
    <n v="1925"/>
    <x v="37"/>
    <x v="54"/>
    <x v="1"/>
    <x v="2"/>
    <x v="1"/>
    <x v="3"/>
    <x v="10"/>
    <x v="3"/>
    <n v="3.01"/>
    <n v="6.02"/>
  </r>
  <r>
    <n v="1926"/>
    <x v="14"/>
    <x v="539"/>
    <x v="5"/>
    <x v="4"/>
    <x v="0"/>
    <x v="1"/>
    <x v="1"/>
    <x v="0"/>
    <n v="3.54"/>
    <n v="14.16"/>
  </r>
  <r>
    <n v="1927"/>
    <x v="7"/>
    <x v="540"/>
    <x v="5"/>
    <x v="2"/>
    <x v="0"/>
    <x v="0"/>
    <x v="3"/>
    <x v="4"/>
    <n v="3.95"/>
    <n v="19.75"/>
  </r>
  <r>
    <n v="1928"/>
    <x v="176"/>
    <x v="202"/>
    <x v="0"/>
    <x v="5"/>
    <x v="0"/>
    <x v="3"/>
    <x v="10"/>
    <x v="4"/>
    <n v="2.31"/>
    <n v="11.55"/>
  </r>
  <r>
    <n v="1929"/>
    <x v="54"/>
    <x v="326"/>
    <x v="1"/>
    <x v="0"/>
    <x v="2"/>
    <x v="3"/>
    <x v="9"/>
    <x v="1"/>
    <n v="2.48"/>
    <n v="2.48"/>
  </r>
  <r>
    <n v="1930"/>
    <x v="169"/>
    <x v="541"/>
    <x v="0"/>
    <x v="3"/>
    <x v="2"/>
    <x v="3"/>
    <x v="10"/>
    <x v="3"/>
    <n v="2.54"/>
    <n v="5.08"/>
  </r>
  <r>
    <n v="1931"/>
    <x v="101"/>
    <x v="77"/>
    <x v="2"/>
    <x v="3"/>
    <x v="2"/>
    <x v="0"/>
    <x v="0"/>
    <x v="1"/>
    <n v="4.93"/>
    <n v="4.93"/>
  </r>
  <r>
    <n v="1932"/>
    <x v="130"/>
    <x v="542"/>
    <x v="3"/>
    <x v="4"/>
    <x v="1"/>
    <x v="2"/>
    <x v="5"/>
    <x v="0"/>
    <n v="3.78"/>
    <n v="15.12"/>
  </r>
  <r>
    <n v="1933"/>
    <x v="54"/>
    <x v="543"/>
    <x v="1"/>
    <x v="0"/>
    <x v="0"/>
    <x v="0"/>
    <x v="0"/>
    <x v="2"/>
    <n v="4.05"/>
    <n v="12.15"/>
  </r>
  <r>
    <n v="1934"/>
    <x v="60"/>
    <x v="544"/>
    <x v="5"/>
    <x v="1"/>
    <x v="2"/>
    <x v="3"/>
    <x v="9"/>
    <x v="0"/>
    <n v="5.44"/>
    <n v="21.76"/>
  </r>
  <r>
    <n v="1935"/>
    <x v="53"/>
    <x v="475"/>
    <x v="0"/>
    <x v="0"/>
    <x v="2"/>
    <x v="1"/>
    <x v="1"/>
    <x v="1"/>
    <n v="2.99"/>
    <n v="2.99"/>
  </r>
  <r>
    <n v="1936"/>
    <x v="91"/>
    <x v="146"/>
    <x v="2"/>
    <x v="4"/>
    <x v="2"/>
    <x v="3"/>
    <x v="10"/>
    <x v="2"/>
    <n v="4.63"/>
    <n v="13.89"/>
  </r>
  <r>
    <n v="1937"/>
    <x v="60"/>
    <x v="157"/>
    <x v="5"/>
    <x v="1"/>
    <x v="1"/>
    <x v="2"/>
    <x v="2"/>
    <x v="2"/>
    <n v="3.38"/>
    <n v="10.14"/>
  </r>
  <r>
    <n v="1938"/>
    <x v="175"/>
    <x v="24"/>
    <x v="1"/>
    <x v="6"/>
    <x v="0"/>
    <x v="3"/>
    <x v="9"/>
    <x v="0"/>
    <n v="3.14"/>
    <n v="12.56"/>
  </r>
  <r>
    <n v="1939"/>
    <x v="61"/>
    <x v="265"/>
    <x v="0"/>
    <x v="6"/>
    <x v="0"/>
    <x v="2"/>
    <x v="6"/>
    <x v="3"/>
    <n v="4.3499999999999996"/>
    <n v="8.6999999999999993"/>
  </r>
  <r>
    <n v="1940"/>
    <x v="143"/>
    <x v="122"/>
    <x v="4"/>
    <x v="0"/>
    <x v="1"/>
    <x v="3"/>
    <x v="10"/>
    <x v="4"/>
    <n v="3.23"/>
    <n v="16.149999999999999"/>
  </r>
  <r>
    <n v="1941"/>
    <x v="20"/>
    <x v="545"/>
    <x v="4"/>
    <x v="3"/>
    <x v="1"/>
    <x v="2"/>
    <x v="2"/>
    <x v="4"/>
    <n v="2.54"/>
    <n v="12.7"/>
  </r>
  <r>
    <n v="1942"/>
    <x v="161"/>
    <x v="546"/>
    <x v="5"/>
    <x v="2"/>
    <x v="2"/>
    <x v="1"/>
    <x v="1"/>
    <x v="1"/>
    <n v="4.29"/>
    <n v="4.29"/>
  </r>
  <r>
    <n v="1943"/>
    <x v="169"/>
    <x v="184"/>
    <x v="0"/>
    <x v="3"/>
    <x v="1"/>
    <x v="0"/>
    <x v="0"/>
    <x v="0"/>
    <n v="4.18"/>
    <n v="16.72"/>
  </r>
  <r>
    <n v="1944"/>
    <x v="17"/>
    <x v="427"/>
    <x v="0"/>
    <x v="4"/>
    <x v="1"/>
    <x v="2"/>
    <x v="2"/>
    <x v="3"/>
    <n v="5.41"/>
    <n v="10.82"/>
  </r>
  <r>
    <n v="1945"/>
    <x v="73"/>
    <x v="547"/>
    <x v="4"/>
    <x v="5"/>
    <x v="1"/>
    <x v="1"/>
    <x v="1"/>
    <x v="0"/>
    <n v="2.7"/>
    <n v="10.8"/>
  </r>
  <r>
    <n v="1946"/>
    <x v="94"/>
    <x v="210"/>
    <x v="0"/>
    <x v="6"/>
    <x v="0"/>
    <x v="2"/>
    <x v="2"/>
    <x v="3"/>
    <n v="2.39"/>
    <n v="4.78"/>
  </r>
  <r>
    <n v="1947"/>
    <x v="122"/>
    <x v="47"/>
    <x v="2"/>
    <x v="6"/>
    <x v="1"/>
    <x v="1"/>
    <x v="1"/>
    <x v="4"/>
    <n v="3.55"/>
    <n v="17.75"/>
  </r>
  <r>
    <n v="1948"/>
    <x v="41"/>
    <x v="212"/>
    <x v="5"/>
    <x v="0"/>
    <x v="2"/>
    <x v="1"/>
    <x v="1"/>
    <x v="3"/>
    <n v="2.97"/>
    <n v="5.94"/>
  </r>
  <r>
    <n v="1949"/>
    <x v="84"/>
    <x v="377"/>
    <x v="5"/>
    <x v="6"/>
    <x v="1"/>
    <x v="3"/>
    <x v="7"/>
    <x v="0"/>
    <n v="5.49"/>
    <n v="21.96"/>
  </r>
  <r>
    <n v="1950"/>
    <x v="134"/>
    <x v="548"/>
    <x v="3"/>
    <x v="2"/>
    <x v="2"/>
    <x v="2"/>
    <x v="2"/>
    <x v="4"/>
    <n v="4.1500000000000004"/>
    <n v="20.75"/>
  </r>
  <r>
    <n v="1951"/>
    <x v="81"/>
    <x v="549"/>
    <x v="3"/>
    <x v="1"/>
    <x v="2"/>
    <x v="3"/>
    <x v="7"/>
    <x v="2"/>
    <n v="2.1"/>
    <n v="6.3"/>
  </r>
  <r>
    <n v="1952"/>
    <x v="15"/>
    <x v="459"/>
    <x v="4"/>
    <x v="4"/>
    <x v="1"/>
    <x v="3"/>
    <x v="9"/>
    <x v="2"/>
    <n v="4.76"/>
    <n v="14.28"/>
  </r>
  <r>
    <n v="1953"/>
    <x v="140"/>
    <x v="352"/>
    <x v="3"/>
    <x v="1"/>
    <x v="1"/>
    <x v="3"/>
    <x v="10"/>
    <x v="1"/>
    <n v="2.8"/>
    <n v="2.8"/>
  </r>
  <r>
    <n v="1954"/>
    <x v="171"/>
    <x v="409"/>
    <x v="5"/>
    <x v="1"/>
    <x v="1"/>
    <x v="3"/>
    <x v="10"/>
    <x v="3"/>
    <n v="3.74"/>
    <n v="7.48"/>
  </r>
  <r>
    <n v="1955"/>
    <x v="174"/>
    <x v="508"/>
    <x v="3"/>
    <x v="3"/>
    <x v="2"/>
    <x v="3"/>
    <x v="10"/>
    <x v="3"/>
    <n v="5.44"/>
    <n v="10.88"/>
  </r>
  <r>
    <n v="1956"/>
    <x v="16"/>
    <x v="171"/>
    <x v="0"/>
    <x v="2"/>
    <x v="1"/>
    <x v="3"/>
    <x v="10"/>
    <x v="0"/>
    <n v="4.63"/>
    <n v="18.52"/>
  </r>
  <r>
    <n v="1957"/>
    <x v="30"/>
    <x v="120"/>
    <x v="2"/>
    <x v="0"/>
    <x v="2"/>
    <x v="1"/>
    <x v="1"/>
    <x v="4"/>
    <n v="3.53"/>
    <n v="17.649999999999999"/>
  </r>
  <r>
    <n v="1958"/>
    <x v="125"/>
    <x v="270"/>
    <x v="1"/>
    <x v="4"/>
    <x v="1"/>
    <x v="1"/>
    <x v="1"/>
    <x v="0"/>
    <n v="4.5599999999999996"/>
    <n v="18.239999999999998"/>
  </r>
  <r>
    <n v="1959"/>
    <x v="19"/>
    <x v="191"/>
    <x v="3"/>
    <x v="6"/>
    <x v="0"/>
    <x v="2"/>
    <x v="4"/>
    <x v="4"/>
    <n v="5.87"/>
    <n v="29.35"/>
  </r>
  <r>
    <n v="1960"/>
    <x v="99"/>
    <x v="116"/>
    <x v="2"/>
    <x v="5"/>
    <x v="1"/>
    <x v="3"/>
    <x v="7"/>
    <x v="0"/>
    <n v="4.08"/>
    <n v="16.32"/>
  </r>
  <r>
    <n v="1961"/>
    <x v="48"/>
    <x v="550"/>
    <x v="3"/>
    <x v="1"/>
    <x v="2"/>
    <x v="1"/>
    <x v="1"/>
    <x v="0"/>
    <n v="5.14"/>
    <n v="20.56"/>
  </r>
  <r>
    <n v="1962"/>
    <x v="100"/>
    <x v="551"/>
    <x v="1"/>
    <x v="6"/>
    <x v="2"/>
    <x v="0"/>
    <x v="8"/>
    <x v="1"/>
    <n v="2.59"/>
    <n v="2.59"/>
  </r>
  <r>
    <n v="1963"/>
    <x v="32"/>
    <x v="21"/>
    <x v="1"/>
    <x v="4"/>
    <x v="2"/>
    <x v="2"/>
    <x v="4"/>
    <x v="2"/>
    <n v="2.89"/>
    <n v="8.67"/>
  </r>
  <r>
    <n v="1964"/>
    <x v="114"/>
    <x v="113"/>
    <x v="4"/>
    <x v="2"/>
    <x v="0"/>
    <x v="2"/>
    <x v="6"/>
    <x v="0"/>
    <n v="2.39"/>
    <n v="9.56"/>
  </r>
  <r>
    <n v="1965"/>
    <x v="115"/>
    <x v="253"/>
    <x v="5"/>
    <x v="4"/>
    <x v="1"/>
    <x v="0"/>
    <x v="3"/>
    <x v="1"/>
    <n v="4.67"/>
    <n v="4.67"/>
  </r>
  <r>
    <n v="1966"/>
    <x v="150"/>
    <x v="542"/>
    <x v="0"/>
    <x v="4"/>
    <x v="2"/>
    <x v="2"/>
    <x v="6"/>
    <x v="0"/>
    <n v="3.46"/>
    <n v="13.84"/>
  </r>
  <r>
    <n v="1967"/>
    <x v="47"/>
    <x v="2"/>
    <x v="2"/>
    <x v="5"/>
    <x v="2"/>
    <x v="0"/>
    <x v="8"/>
    <x v="2"/>
    <n v="2.5299999999999998"/>
    <n v="7.59"/>
  </r>
  <r>
    <n v="1968"/>
    <x v="10"/>
    <x v="152"/>
    <x v="3"/>
    <x v="1"/>
    <x v="2"/>
    <x v="3"/>
    <x v="9"/>
    <x v="3"/>
    <n v="4.42"/>
    <n v="8.84"/>
  </r>
  <r>
    <n v="1969"/>
    <x v="121"/>
    <x v="278"/>
    <x v="3"/>
    <x v="2"/>
    <x v="2"/>
    <x v="3"/>
    <x v="9"/>
    <x v="2"/>
    <n v="4.7"/>
    <n v="14.1"/>
  </r>
  <r>
    <n v="1970"/>
    <x v="176"/>
    <x v="297"/>
    <x v="0"/>
    <x v="5"/>
    <x v="0"/>
    <x v="1"/>
    <x v="1"/>
    <x v="2"/>
    <n v="3.87"/>
    <n v="11.61"/>
  </r>
  <r>
    <n v="1971"/>
    <x v="70"/>
    <x v="84"/>
    <x v="2"/>
    <x v="6"/>
    <x v="0"/>
    <x v="3"/>
    <x v="7"/>
    <x v="2"/>
    <n v="3.93"/>
    <n v="11.79"/>
  </r>
  <r>
    <n v="1972"/>
    <x v="174"/>
    <x v="552"/>
    <x v="3"/>
    <x v="3"/>
    <x v="0"/>
    <x v="0"/>
    <x v="3"/>
    <x v="3"/>
    <n v="5.32"/>
    <n v="10.64"/>
  </r>
  <r>
    <n v="1973"/>
    <x v="78"/>
    <x v="1"/>
    <x v="4"/>
    <x v="2"/>
    <x v="0"/>
    <x v="0"/>
    <x v="3"/>
    <x v="4"/>
    <n v="2.4700000000000002"/>
    <n v="12.35"/>
  </r>
  <r>
    <n v="1974"/>
    <x v="117"/>
    <x v="273"/>
    <x v="5"/>
    <x v="4"/>
    <x v="2"/>
    <x v="3"/>
    <x v="9"/>
    <x v="0"/>
    <n v="3.85"/>
    <n v="15.4"/>
  </r>
  <r>
    <n v="1975"/>
    <x v="159"/>
    <x v="553"/>
    <x v="2"/>
    <x v="0"/>
    <x v="2"/>
    <x v="1"/>
    <x v="1"/>
    <x v="2"/>
    <n v="2.99"/>
    <n v="8.9700000000000006"/>
  </r>
  <r>
    <n v="1976"/>
    <x v="176"/>
    <x v="528"/>
    <x v="0"/>
    <x v="5"/>
    <x v="1"/>
    <x v="3"/>
    <x v="7"/>
    <x v="1"/>
    <n v="4.43"/>
    <n v="4.43"/>
  </r>
  <r>
    <n v="1977"/>
    <x v="125"/>
    <x v="360"/>
    <x v="1"/>
    <x v="4"/>
    <x v="2"/>
    <x v="1"/>
    <x v="1"/>
    <x v="3"/>
    <n v="3.55"/>
    <n v="7.1"/>
  </r>
  <r>
    <n v="1978"/>
    <x v="80"/>
    <x v="363"/>
    <x v="3"/>
    <x v="1"/>
    <x v="0"/>
    <x v="2"/>
    <x v="5"/>
    <x v="2"/>
    <n v="4.25"/>
    <n v="12.75"/>
  </r>
  <r>
    <n v="1979"/>
    <x v="154"/>
    <x v="421"/>
    <x v="2"/>
    <x v="2"/>
    <x v="1"/>
    <x v="0"/>
    <x v="0"/>
    <x v="1"/>
    <n v="4.28"/>
    <n v="4.28"/>
  </r>
  <r>
    <n v="1980"/>
    <x v="31"/>
    <x v="30"/>
    <x v="4"/>
    <x v="4"/>
    <x v="0"/>
    <x v="2"/>
    <x v="6"/>
    <x v="0"/>
    <n v="4.87"/>
    <n v="19.48"/>
  </r>
  <r>
    <n v="1981"/>
    <x v="154"/>
    <x v="554"/>
    <x v="2"/>
    <x v="2"/>
    <x v="1"/>
    <x v="2"/>
    <x v="4"/>
    <x v="4"/>
    <n v="3.34"/>
    <n v="16.7"/>
  </r>
  <r>
    <n v="1982"/>
    <x v="90"/>
    <x v="322"/>
    <x v="5"/>
    <x v="4"/>
    <x v="0"/>
    <x v="0"/>
    <x v="8"/>
    <x v="4"/>
    <n v="3.57"/>
    <n v="17.850000000000001"/>
  </r>
  <r>
    <n v="1983"/>
    <x v="124"/>
    <x v="555"/>
    <x v="3"/>
    <x v="0"/>
    <x v="1"/>
    <x v="1"/>
    <x v="1"/>
    <x v="4"/>
    <n v="5.72"/>
    <n v="28.6"/>
  </r>
  <r>
    <n v="1984"/>
    <x v="99"/>
    <x v="75"/>
    <x v="2"/>
    <x v="5"/>
    <x v="2"/>
    <x v="2"/>
    <x v="5"/>
    <x v="3"/>
    <n v="3.41"/>
    <n v="6.82"/>
  </r>
  <r>
    <n v="1985"/>
    <x v="148"/>
    <x v="556"/>
    <x v="3"/>
    <x v="4"/>
    <x v="1"/>
    <x v="2"/>
    <x v="6"/>
    <x v="3"/>
    <n v="4.04"/>
    <n v="8.08"/>
  </r>
  <r>
    <n v="1986"/>
    <x v="65"/>
    <x v="339"/>
    <x v="5"/>
    <x v="3"/>
    <x v="1"/>
    <x v="3"/>
    <x v="10"/>
    <x v="0"/>
    <n v="3.16"/>
    <n v="12.64"/>
  </r>
  <r>
    <n v="1987"/>
    <x v="68"/>
    <x v="99"/>
    <x v="0"/>
    <x v="2"/>
    <x v="1"/>
    <x v="0"/>
    <x v="0"/>
    <x v="0"/>
    <n v="5.47"/>
    <n v="21.88"/>
  </r>
  <r>
    <n v="1988"/>
    <x v="141"/>
    <x v="152"/>
    <x v="3"/>
    <x v="4"/>
    <x v="0"/>
    <x v="0"/>
    <x v="3"/>
    <x v="4"/>
    <n v="2.74"/>
    <n v="13.7"/>
  </r>
  <r>
    <n v="1989"/>
    <x v="27"/>
    <x v="345"/>
    <x v="1"/>
    <x v="6"/>
    <x v="2"/>
    <x v="0"/>
    <x v="3"/>
    <x v="4"/>
    <n v="2.1800000000000002"/>
    <n v="10.9"/>
  </r>
  <r>
    <n v="1990"/>
    <x v="44"/>
    <x v="557"/>
    <x v="1"/>
    <x v="1"/>
    <x v="2"/>
    <x v="1"/>
    <x v="1"/>
    <x v="0"/>
    <n v="2.17"/>
    <n v="8.68"/>
  </r>
  <r>
    <n v="1991"/>
    <x v="71"/>
    <x v="83"/>
    <x v="0"/>
    <x v="6"/>
    <x v="0"/>
    <x v="0"/>
    <x v="0"/>
    <x v="4"/>
    <n v="5.66"/>
    <n v="28.3"/>
  </r>
  <r>
    <n v="1992"/>
    <x v="11"/>
    <x v="404"/>
    <x v="4"/>
    <x v="0"/>
    <x v="0"/>
    <x v="1"/>
    <x v="1"/>
    <x v="2"/>
    <n v="5.72"/>
    <n v="17.16"/>
  </r>
  <r>
    <n v="1993"/>
    <x v="179"/>
    <x v="558"/>
    <x v="5"/>
    <x v="2"/>
    <x v="0"/>
    <x v="1"/>
    <x v="1"/>
    <x v="4"/>
    <n v="5.8"/>
    <n v="29"/>
  </r>
  <r>
    <n v="1994"/>
    <x v="5"/>
    <x v="559"/>
    <x v="4"/>
    <x v="3"/>
    <x v="1"/>
    <x v="3"/>
    <x v="9"/>
    <x v="0"/>
    <n v="2.17"/>
    <n v="8.68"/>
  </r>
  <r>
    <n v="1995"/>
    <x v="35"/>
    <x v="114"/>
    <x v="5"/>
    <x v="0"/>
    <x v="1"/>
    <x v="2"/>
    <x v="6"/>
    <x v="2"/>
    <n v="3.69"/>
    <n v="11.07"/>
  </r>
  <r>
    <n v="1996"/>
    <x v="161"/>
    <x v="560"/>
    <x v="5"/>
    <x v="2"/>
    <x v="2"/>
    <x v="3"/>
    <x v="10"/>
    <x v="2"/>
    <n v="4.8899999999999997"/>
    <n v="14.67"/>
  </r>
  <r>
    <n v="1997"/>
    <x v="9"/>
    <x v="215"/>
    <x v="3"/>
    <x v="0"/>
    <x v="1"/>
    <x v="0"/>
    <x v="0"/>
    <x v="0"/>
    <n v="5.24"/>
    <n v="20.96"/>
  </r>
  <r>
    <n v="1998"/>
    <x v="6"/>
    <x v="96"/>
    <x v="4"/>
    <x v="3"/>
    <x v="0"/>
    <x v="1"/>
    <x v="1"/>
    <x v="4"/>
    <n v="4.3600000000000003"/>
    <n v="21.8"/>
  </r>
  <r>
    <n v="1999"/>
    <x v="56"/>
    <x v="561"/>
    <x v="2"/>
    <x v="1"/>
    <x v="1"/>
    <x v="0"/>
    <x v="8"/>
    <x v="2"/>
    <n v="2.44"/>
    <n v="7.32"/>
  </r>
  <r>
    <n v="2000"/>
    <x v="111"/>
    <x v="562"/>
    <x v="2"/>
    <x v="0"/>
    <x v="0"/>
    <x v="3"/>
    <x v="9"/>
    <x v="4"/>
    <n v="2.41"/>
    <n v="12.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6B203C-A15B-4D2F-8546-33BA743337FD}"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B54:AC55" firstHeaderRow="0" firstDataRow="1" firstDataCol="0"/>
  <pivotFields count="11">
    <pivotField dataField="1" showAll="0"/>
    <pivotField showAll="0">
      <items count="181">
        <item x="135"/>
        <item x="150"/>
        <item x="53"/>
        <item x="43"/>
        <item x="55"/>
        <item x="120"/>
        <item x="71"/>
        <item x="79"/>
        <item x="26"/>
        <item x="127"/>
        <item x="169"/>
        <item x="156"/>
        <item x="176"/>
        <item x="110"/>
        <item x="1"/>
        <item x="164"/>
        <item x="0"/>
        <item x="82"/>
        <item x="68"/>
        <item x="144"/>
        <item x="61"/>
        <item x="108"/>
        <item x="17"/>
        <item x="157"/>
        <item x="52"/>
        <item x="16"/>
        <item x="147"/>
        <item x="94"/>
        <item x="145"/>
        <item x="66"/>
        <item x="167"/>
        <item x="20"/>
        <item x="129"/>
        <item x="105"/>
        <item x="50"/>
        <item x="103"/>
        <item x="15"/>
        <item x="139"/>
        <item x="5"/>
        <item x="38"/>
        <item x="73"/>
        <item x="87"/>
        <item x="137"/>
        <item x="24"/>
        <item x="143"/>
        <item x="76"/>
        <item x="114"/>
        <item x="85"/>
        <item x="146"/>
        <item x="93"/>
        <item x="163"/>
        <item x="109"/>
        <item x="6"/>
        <item x="78"/>
        <item x="152"/>
        <item x="116"/>
        <item x="172"/>
        <item x="31"/>
        <item x="11"/>
        <item x="136"/>
        <item x="37"/>
        <item x="98"/>
        <item x="46"/>
        <item x="36"/>
        <item x="118"/>
        <item x="54"/>
        <item x="166"/>
        <item x="160"/>
        <item x="25"/>
        <item x="22"/>
        <item x="44"/>
        <item x="45"/>
        <item x="112"/>
        <item x="51"/>
        <item x="178"/>
        <item x="34"/>
        <item x="27"/>
        <item x="64"/>
        <item x="32"/>
        <item x="23"/>
        <item x="132"/>
        <item x="149"/>
        <item x="162"/>
        <item x="100"/>
        <item x="158"/>
        <item x="125"/>
        <item x="42"/>
        <item x="123"/>
        <item x="2"/>
        <item x="63"/>
        <item x="175"/>
        <item x="10"/>
        <item x="4"/>
        <item x="9"/>
        <item x="88"/>
        <item x="104"/>
        <item x="8"/>
        <item x="33"/>
        <item x="140"/>
        <item x="141"/>
        <item x="124"/>
        <item x="174"/>
        <item x="28"/>
        <item x="69"/>
        <item x="58"/>
        <item x="80"/>
        <item x="131"/>
        <item x="96"/>
        <item x="77"/>
        <item x="134"/>
        <item x="133"/>
        <item x="168"/>
        <item x="48"/>
        <item x="148"/>
        <item x="67"/>
        <item x="121"/>
        <item x="74"/>
        <item x="19"/>
        <item x="81"/>
        <item x="130"/>
        <item x="72"/>
        <item x="65"/>
        <item x="179"/>
        <item x="126"/>
        <item x="59"/>
        <item x="21"/>
        <item x="117"/>
        <item x="35"/>
        <item x="138"/>
        <item x="170"/>
        <item x="62"/>
        <item x="92"/>
        <item x="60"/>
        <item x="90"/>
        <item x="151"/>
        <item x="107"/>
        <item x="155"/>
        <item x="128"/>
        <item x="177"/>
        <item x="89"/>
        <item x="115"/>
        <item x="41"/>
        <item x="113"/>
        <item x="161"/>
        <item x="29"/>
        <item x="84"/>
        <item x="171"/>
        <item x="14"/>
        <item x="49"/>
        <item x="142"/>
        <item x="7"/>
        <item x="86"/>
        <item x="122"/>
        <item x="119"/>
        <item x="97"/>
        <item x="83"/>
        <item x="101"/>
        <item x="95"/>
        <item x="99"/>
        <item x="153"/>
        <item x="106"/>
        <item x="13"/>
        <item x="111"/>
        <item x="3"/>
        <item x="75"/>
        <item x="173"/>
        <item x="70"/>
        <item x="56"/>
        <item x="12"/>
        <item x="30"/>
        <item x="57"/>
        <item x="154"/>
        <item x="40"/>
        <item x="102"/>
        <item x="39"/>
        <item x="91"/>
        <item x="159"/>
        <item x="165"/>
        <item x="18"/>
        <item x="47"/>
        <item t="default"/>
      </items>
    </pivotField>
    <pivotField showAll="0">
      <items count="564">
        <item x="418"/>
        <item x="15"/>
        <item x="561"/>
        <item x="105"/>
        <item x="305"/>
        <item x="340"/>
        <item x="170"/>
        <item x="474"/>
        <item x="115"/>
        <item x="19"/>
        <item x="235"/>
        <item x="23"/>
        <item x="422"/>
        <item x="69"/>
        <item x="555"/>
        <item x="350"/>
        <item x="197"/>
        <item x="129"/>
        <item x="43"/>
        <item x="332"/>
        <item x="221"/>
        <item x="125"/>
        <item x="306"/>
        <item x="180"/>
        <item x="527"/>
        <item x="155"/>
        <item x="414"/>
        <item x="10"/>
        <item x="462"/>
        <item x="552"/>
        <item x="294"/>
        <item x="503"/>
        <item x="252"/>
        <item x="159"/>
        <item x="495"/>
        <item x="312"/>
        <item x="501"/>
        <item x="553"/>
        <item x="545"/>
        <item x="487"/>
        <item x="310"/>
        <item x="301"/>
        <item x="291"/>
        <item x="137"/>
        <item x="212"/>
        <item x="229"/>
        <item x="429"/>
        <item x="118"/>
        <item x="320"/>
        <item x="318"/>
        <item x="425"/>
        <item x="357"/>
        <item x="239"/>
        <item x="483"/>
        <item x="453"/>
        <item x="139"/>
        <item x="420"/>
        <item x="74"/>
        <item x="516"/>
        <item x="534"/>
        <item x="530"/>
        <item x="448"/>
        <item x="232"/>
        <item x="537"/>
        <item x="211"/>
        <item x="437"/>
        <item x="407"/>
        <item x="151"/>
        <item x="543"/>
        <item x="41"/>
        <item x="175"/>
        <item x="480"/>
        <item x="123"/>
        <item x="494"/>
        <item x="299"/>
        <item x="144"/>
        <item x="188"/>
        <item x="58"/>
        <item x="55"/>
        <item x="65"/>
        <item x="452"/>
        <item x="27"/>
        <item x="436"/>
        <item x="342"/>
        <item x="203"/>
        <item x="141"/>
        <item x="396"/>
        <item x="319"/>
        <item x="147"/>
        <item x="103"/>
        <item x="49"/>
        <item x="131"/>
        <item x="193"/>
        <item x="190"/>
        <item x="428"/>
        <item x="24"/>
        <item x="210"/>
        <item x="108"/>
        <item x="225"/>
        <item x="82"/>
        <item x="469"/>
        <item x="236"/>
        <item x="288"/>
        <item x="377"/>
        <item x="148"/>
        <item x="112"/>
        <item x="316"/>
        <item x="213"/>
        <item x="512"/>
        <item x="401"/>
        <item x="559"/>
        <item x="362"/>
        <item x="451"/>
        <item x="119"/>
        <item x="371"/>
        <item x="258"/>
        <item x="146"/>
        <item x="427"/>
        <item x="410"/>
        <item x="242"/>
        <item x="375"/>
        <item x="404"/>
        <item x="339"/>
        <item x="502"/>
        <item x="34"/>
        <item x="11"/>
        <item x="334"/>
        <item x="12"/>
        <item x="100"/>
        <item x="67"/>
        <item x="233"/>
        <item x="372"/>
        <item x="0"/>
        <item x="78"/>
        <item x="547"/>
        <item x="368"/>
        <item x="475"/>
        <item x="513"/>
        <item x="336"/>
        <item x="32"/>
        <item x="122"/>
        <item x="303"/>
        <item x="412"/>
        <item x="309"/>
        <item x="348"/>
        <item x="333"/>
        <item x="456"/>
        <item x="217"/>
        <item x="80"/>
        <item x="254"/>
        <item x="63"/>
        <item x="26"/>
        <item x="241"/>
        <item x="279"/>
        <item x="153"/>
        <item x="185"/>
        <item x="92"/>
        <item x="140"/>
        <item x="535"/>
        <item x="378"/>
        <item x="460"/>
        <item x="541"/>
        <item x="366"/>
        <item x="511"/>
        <item x="264"/>
        <item x="259"/>
        <item x="142"/>
        <item x="464"/>
        <item x="184"/>
        <item x="351"/>
        <item x="267"/>
        <item x="515"/>
        <item x="476"/>
        <item x="13"/>
        <item x="550"/>
        <item x="323"/>
        <item x="384"/>
        <item x="275"/>
        <item x="56"/>
        <item x="447"/>
        <item x="6"/>
        <item x="214"/>
        <item x="98"/>
        <item x="62"/>
        <item x="285"/>
        <item x="280"/>
        <item x="402"/>
        <item x="222"/>
        <item x="471"/>
        <item x="353"/>
        <item x="47"/>
        <item x="450"/>
        <item x="164"/>
        <item x="521"/>
        <item x="449"/>
        <item x="201"/>
        <item x="482"/>
        <item x="533"/>
        <item x="25"/>
        <item x="383"/>
        <item x="224"/>
        <item x="165"/>
        <item x="71"/>
        <item x="136"/>
        <item x="524"/>
        <item x="431"/>
        <item x="283"/>
        <item x="419"/>
        <item x="426"/>
        <item x="28"/>
        <item x="158"/>
        <item x="243"/>
        <item x="539"/>
        <item x="37"/>
        <item x="356"/>
        <item x="244"/>
        <item x="470"/>
        <item x="461"/>
        <item x="296"/>
        <item x="359"/>
        <item x="260"/>
        <item x="126"/>
        <item x="557"/>
        <item x="128"/>
        <item x="143"/>
        <item x="191"/>
        <item x="132"/>
        <item x="270"/>
        <item x="77"/>
        <item x="179"/>
        <item x="454"/>
        <item x="269"/>
        <item x="562"/>
        <item x="113"/>
        <item x="22"/>
        <item x="35"/>
        <item x="277"/>
        <item x="114"/>
        <item x="435"/>
        <item x="16"/>
        <item x="504"/>
        <item x="394"/>
        <item x="110"/>
        <item x="39"/>
        <item x="265"/>
        <item x="93"/>
        <item x="121"/>
        <item x="124"/>
        <item x="90"/>
        <item x="443"/>
        <item x="240"/>
        <item x="538"/>
        <item x="458"/>
        <item x="556"/>
        <item x="86"/>
        <item x="208"/>
        <item x="152"/>
        <item x="149"/>
        <item x="293"/>
        <item x="554"/>
        <item x="392"/>
        <item x="496"/>
        <item x="177"/>
        <item x="263"/>
        <item x="106"/>
        <item x="520"/>
        <item x="444"/>
        <item x="290"/>
        <item x="374"/>
        <item x="133"/>
        <item x="75"/>
        <item x="246"/>
        <item x="400"/>
        <item x="234"/>
        <item x="64"/>
        <item x="262"/>
        <item x="399"/>
        <item x="523"/>
        <item x="395"/>
        <item x="42"/>
        <item x="95"/>
        <item x="445"/>
        <item x="46"/>
        <item x="302"/>
        <item x="54"/>
        <item x="519"/>
        <item x="417"/>
        <item x="308"/>
        <item x="500"/>
        <item x="528"/>
        <item x="227"/>
        <item x="274"/>
        <item x="514"/>
        <item x="5"/>
        <item x="209"/>
        <item x="430"/>
        <item x="130"/>
        <item x="266"/>
        <item x="508"/>
        <item x="297"/>
        <item x="40"/>
        <item x="248"/>
        <item x="281"/>
        <item x="174"/>
        <item x="327"/>
        <item x="97"/>
        <item x="321"/>
        <item x="182"/>
        <item x="181"/>
        <item x="101"/>
        <item x="409"/>
        <item x="505"/>
        <item x="87"/>
        <item x="497"/>
        <item x="99"/>
        <item x="421"/>
        <item x="52"/>
        <item x="358"/>
        <item x="536"/>
        <item x="85"/>
        <item x="194"/>
        <item x="172"/>
        <item x="393"/>
        <item x="135"/>
        <item x="199"/>
        <item x="406"/>
        <item x="509"/>
        <item x="363"/>
        <item x="61"/>
        <item x="166"/>
        <item x="178"/>
        <item x="30"/>
        <item x="381"/>
        <item x="116"/>
        <item x="204"/>
        <item x="560"/>
        <item x="29"/>
        <item x="45"/>
        <item x="367"/>
        <item x="109"/>
        <item x="2"/>
        <item x="251"/>
        <item x="465"/>
        <item x="84"/>
        <item x="315"/>
        <item x="17"/>
        <item x="79"/>
        <item x="311"/>
        <item x="94"/>
        <item x="127"/>
        <item x="268"/>
        <item x="271"/>
        <item x="478"/>
        <item x="247"/>
        <item x="492"/>
        <item x="70"/>
        <item x="313"/>
        <item x="531"/>
        <item x="44"/>
        <item x="439"/>
        <item x="245"/>
        <item x="66"/>
        <item x="104"/>
        <item x="489"/>
        <item x="83"/>
        <item x="434"/>
        <item x="228"/>
        <item x="53"/>
        <item x="59"/>
        <item x="292"/>
        <item x="220"/>
        <item x="544"/>
        <item x="558"/>
        <item x="295"/>
        <item x="411"/>
        <item x="195"/>
        <item x="517"/>
        <item x="385"/>
        <item x="192"/>
        <item x="36"/>
        <item x="76"/>
        <item x="272"/>
        <item x="522"/>
        <item x="379"/>
        <item x="231"/>
        <item x="442"/>
        <item x="169"/>
        <item x="278"/>
        <item x="33"/>
        <item x="349"/>
        <item x="261"/>
        <item x="8"/>
        <item x="50"/>
        <item x="346"/>
        <item x="18"/>
        <item x="438"/>
        <item x="304"/>
        <item x="257"/>
        <item x="403"/>
        <item x="382"/>
        <item x="549"/>
        <item x="473"/>
        <item x="73"/>
        <item x="183"/>
        <item x="173"/>
        <item x="380"/>
        <item x="408"/>
        <item x="386"/>
        <item x="89"/>
        <item x="286"/>
        <item x="472"/>
        <item x="344"/>
        <item x="387"/>
        <item x="415"/>
        <item x="250"/>
        <item x="526"/>
        <item x="440"/>
        <item x="341"/>
        <item x="7"/>
        <item x="518"/>
        <item x="307"/>
        <item x="176"/>
        <item x="490"/>
        <item x="317"/>
        <item x="551"/>
        <item x="330"/>
        <item x="300"/>
        <item x="337"/>
        <item x="546"/>
        <item x="466"/>
        <item x="331"/>
        <item x="102"/>
        <item x="68"/>
        <item x="57"/>
        <item x="498"/>
        <item x="205"/>
        <item x="1"/>
        <item x="360"/>
        <item x="491"/>
        <item x="328"/>
        <item x="548"/>
        <item x="486"/>
        <item x="31"/>
        <item x="529"/>
        <item x="48"/>
        <item x="256"/>
        <item x="218"/>
        <item x="282"/>
        <item x="506"/>
        <item x="433"/>
        <item x="459"/>
        <item x="390"/>
        <item x="467"/>
        <item x="329"/>
        <item x="163"/>
        <item x="479"/>
        <item x="161"/>
        <item x="352"/>
        <item x="223"/>
        <item x="253"/>
        <item x="347"/>
        <item x="397"/>
        <item x="507"/>
        <item x="167"/>
        <item x="14"/>
        <item x="20"/>
        <item x="9"/>
        <item x="376"/>
        <item x="138"/>
        <item x="532"/>
        <item x="216"/>
        <item x="287"/>
        <item x="423"/>
        <item x="314"/>
        <item x="424"/>
        <item x="354"/>
        <item x="298"/>
        <item x="389"/>
        <item x="325"/>
        <item x="51"/>
        <item x="510"/>
        <item x="338"/>
        <item x="207"/>
        <item x="237"/>
        <item x="276"/>
        <item x="215"/>
        <item x="145"/>
        <item x="202"/>
        <item x="4"/>
        <item x="373"/>
        <item x="345"/>
        <item x="273"/>
        <item x="499"/>
        <item x="468"/>
        <item x="111"/>
        <item x="226"/>
        <item x="484"/>
        <item x="324"/>
        <item x="525"/>
        <item x="238"/>
        <item x="446"/>
        <item x="370"/>
        <item x="391"/>
        <item x="186"/>
        <item x="21"/>
        <item x="413"/>
        <item x="365"/>
        <item x="457"/>
        <item x="189"/>
        <item x="284"/>
        <item x="117"/>
        <item x="91"/>
        <item x="441"/>
        <item x="160"/>
        <item x="485"/>
        <item x="72"/>
        <item x="219"/>
        <item x="96"/>
        <item x="463"/>
        <item x="405"/>
        <item x="455"/>
        <item x="477"/>
        <item x="162"/>
        <item x="481"/>
        <item x="398"/>
        <item x="540"/>
        <item x="200"/>
        <item x="230"/>
        <item x="157"/>
        <item x="488"/>
        <item x="355"/>
        <item x="120"/>
        <item x="88"/>
        <item x="196"/>
        <item x="249"/>
        <item x="81"/>
        <item x="154"/>
        <item x="289"/>
        <item x="361"/>
        <item x="107"/>
        <item x="343"/>
        <item x="326"/>
        <item x="198"/>
        <item x="206"/>
        <item x="156"/>
        <item x="542"/>
        <item x="388"/>
        <item x="187"/>
        <item x="335"/>
        <item x="168"/>
        <item x="60"/>
        <item x="171"/>
        <item x="150"/>
        <item x="369"/>
        <item x="322"/>
        <item x="134"/>
        <item x="364"/>
        <item x="416"/>
        <item x="432"/>
        <item x="255"/>
        <item x="493"/>
        <item x="38"/>
        <item x="3"/>
        <item t="default"/>
      </items>
    </pivotField>
    <pivotField showAll="0">
      <items count="7">
        <item x="0"/>
        <item x="4"/>
        <item x="1"/>
        <item x="3"/>
        <item x="5"/>
        <item x="2"/>
        <item t="default"/>
      </items>
    </pivotField>
    <pivotField showAll="0">
      <items count="8">
        <item x="6"/>
        <item x="1"/>
        <item x="4"/>
        <item x="0"/>
        <item x="3"/>
        <item x="2"/>
        <item x="5"/>
        <item t="default"/>
      </items>
    </pivotField>
    <pivotField dataField="1" showAll="0">
      <items count="4">
        <item x="2"/>
        <item x="0"/>
        <item x="1"/>
        <item t="default"/>
      </items>
    </pivotField>
    <pivotField showAll="0">
      <items count="5">
        <item x="3"/>
        <item x="2"/>
        <item x="1"/>
        <item x="0"/>
        <item t="default"/>
      </items>
    </pivotField>
    <pivotField showAll="0">
      <items count="12">
        <item x="6"/>
        <item x="9"/>
        <item x="0"/>
        <item x="4"/>
        <item x="8"/>
        <item x="7"/>
        <item x="2"/>
        <item x="3"/>
        <item x="1"/>
        <item x="5"/>
        <item x="10"/>
        <item t="default"/>
      </items>
    </pivotField>
    <pivotField showAll="0">
      <items count="6">
        <item x="1"/>
        <item x="3"/>
        <item x="2"/>
        <item x="0"/>
        <item x="4"/>
        <item t="default"/>
      </items>
    </pivotField>
    <pivotField showAll="0"/>
    <pivotField showAll="0"/>
  </pivotFields>
  <rowItems count="1">
    <i/>
  </rowItems>
  <colFields count="1">
    <field x="-2"/>
  </colFields>
  <colItems count="2">
    <i>
      <x/>
    </i>
    <i i="1">
      <x v="1"/>
    </i>
  </colItems>
  <dataFields count="2">
    <dataField name="Count of Store Location" fld="5" subtotal="count" baseField="0" baseItem="0"/>
    <dataField name="Sum of Transaction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8F20C0-6245-4227-8E0A-D4111855716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V22:X38" firstHeaderRow="0" firstDataRow="1" firstDataCol="1"/>
  <pivotFields count="11">
    <pivotField showAll="0"/>
    <pivotField showAll="0">
      <items count="181">
        <item x="135"/>
        <item x="150"/>
        <item x="53"/>
        <item x="43"/>
        <item x="55"/>
        <item x="120"/>
        <item x="71"/>
        <item x="79"/>
        <item x="26"/>
        <item x="127"/>
        <item x="169"/>
        <item x="156"/>
        <item x="176"/>
        <item x="110"/>
        <item x="1"/>
        <item x="164"/>
        <item x="0"/>
        <item x="82"/>
        <item x="68"/>
        <item x="144"/>
        <item x="61"/>
        <item x="108"/>
        <item x="17"/>
        <item x="157"/>
        <item x="52"/>
        <item x="16"/>
        <item x="147"/>
        <item x="94"/>
        <item x="145"/>
        <item x="66"/>
        <item x="167"/>
        <item x="20"/>
        <item x="129"/>
        <item x="105"/>
        <item x="50"/>
        <item x="103"/>
        <item x="15"/>
        <item x="139"/>
        <item x="5"/>
        <item x="38"/>
        <item x="73"/>
        <item x="87"/>
        <item x="137"/>
        <item x="24"/>
        <item x="143"/>
        <item x="76"/>
        <item x="114"/>
        <item x="85"/>
        <item x="146"/>
        <item x="93"/>
        <item x="163"/>
        <item x="109"/>
        <item x="6"/>
        <item x="78"/>
        <item x="152"/>
        <item x="116"/>
        <item x="172"/>
        <item x="31"/>
        <item x="11"/>
        <item x="136"/>
        <item x="37"/>
        <item x="98"/>
        <item x="46"/>
        <item x="36"/>
        <item x="118"/>
        <item x="54"/>
        <item x="166"/>
        <item x="160"/>
        <item x="25"/>
        <item x="22"/>
        <item x="44"/>
        <item x="45"/>
        <item x="112"/>
        <item x="51"/>
        <item x="178"/>
        <item x="34"/>
        <item x="27"/>
        <item x="64"/>
        <item x="32"/>
        <item x="23"/>
        <item x="132"/>
        <item x="149"/>
        <item x="162"/>
        <item x="100"/>
        <item x="158"/>
        <item x="125"/>
        <item x="42"/>
        <item x="123"/>
        <item x="2"/>
        <item x="63"/>
        <item x="175"/>
        <item x="10"/>
        <item x="4"/>
        <item x="9"/>
        <item x="88"/>
        <item x="104"/>
        <item x="8"/>
        <item x="33"/>
        <item x="140"/>
        <item x="141"/>
        <item x="124"/>
        <item x="174"/>
        <item x="28"/>
        <item x="69"/>
        <item x="58"/>
        <item x="80"/>
        <item x="131"/>
        <item x="96"/>
        <item x="77"/>
        <item x="134"/>
        <item x="133"/>
        <item x="168"/>
        <item x="48"/>
        <item x="148"/>
        <item x="67"/>
        <item x="121"/>
        <item x="74"/>
        <item x="19"/>
        <item x="81"/>
        <item x="130"/>
        <item x="72"/>
        <item x="65"/>
        <item x="179"/>
        <item x="126"/>
        <item x="59"/>
        <item x="21"/>
        <item x="117"/>
        <item x="35"/>
        <item x="138"/>
        <item x="170"/>
        <item x="62"/>
        <item x="92"/>
        <item x="60"/>
        <item x="90"/>
        <item x="151"/>
        <item x="107"/>
        <item x="155"/>
        <item x="128"/>
        <item x="177"/>
        <item x="89"/>
        <item x="115"/>
        <item x="41"/>
        <item x="113"/>
        <item x="161"/>
        <item x="29"/>
        <item x="84"/>
        <item x="171"/>
        <item x="14"/>
        <item x="49"/>
        <item x="142"/>
        <item x="7"/>
        <item x="86"/>
        <item x="122"/>
        <item x="119"/>
        <item x="97"/>
        <item x="83"/>
        <item x="101"/>
        <item x="95"/>
        <item x="99"/>
        <item x="153"/>
        <item x="106"/>
        <item x="13"/>
        <item x="111"/>
        <item x="3"/>
        <item x="75"/>
        <item x="173"/>
        <item x="70"/>
        <item x="56"/>
        <item x="12"/>
        <item x="30"/>
        <item x="57"/>
        <item x="154"/>
        <item x="40"/>
        <item x="102"/>
        <item x="39"/>
        <item x="91"/>
        <item x="159"/>
        <item x="165"/>
        <item x="18"/>
        <item x="47"/>
        <item t="default"/>
      </items>
    </pivotField>
    <pivotField showAll="0">
      <items count="564">
        <item x="418"/>
        <item x="15"/>
        <item x="561"/>
        <item x="105"/>
        <item x="305"/>
        <item x="340"/>
        <item x="170"/>
        <item x="474"/>
        <item x="115"/>
        <item x="19"/>
        <item x="235"/>
        <item x="23"/>
        <item x="422"/>
        <item x="69"/>
        <item x="555"/>
        <item x="350"/>
        <item x="197"/>
        <item x="129"/>
        <item x="43"/>
        <item x="332"/>
        <item x="221"/>
        <item x="125"/>
        <item x="306"/>
        <item x="180"/>
        <item x="527"/>
        <item x="155"/>
        <item x="414"/>
        <item x="10"/>
        <item x="462"/>
        <item x="552"/>
        <item x="294"/>
        <item x="503"/>
        <item x="252"/>
        <item x="159"/>
        <item x="495"/>
        <item x="312"/>
        <item x="501"/>
        <item x="553"/>
        <item x="545"/>
        <item x="487"/>
        <item x="310"/>
        <item x="301"/>
        <item x="291"/>
        <item x="137"/>
        <item x="212"/>
        <item x="229"/>
        <item x="429"/>
        <item x="118"/>
        <item x="320"/>
        <item x="318"/>
        <item x="425"/>
        <item x="357"/>
        <item x="239"/>
        <item x="483"/>
        <item x="453"/>
        <item x="139"/>
        <item x="420"/>
        <item x="74"/>
        <item x="516"/>
        <item x="534"/>
        <item x="530"/>
        <item x="448"/>
        <item x="232"/>
        <item x="537"/>
        <item x="211"/>
        <item x="437"/>
        <item x="407"/>
        <item x="151"/>
        <item x="543"/>
        <item x="41"/>
        <item x="175"/>
        <item x="480"/>
        <item x="123"/>
        <item x="494"/>
        <item x="299"/>
        <item x="144"/>
        <item x="188"/>
        <item x="58"/>
        <item x="55"/>
        <item x="65"/>
        <item x="452"/>
        <item x="27"/>
        <item x="436"/>
        <item x="342"/>
        <item x="203"/>
        <item x="141"/>
        <item x="396"/>
        <item x="319"/>
        <item x="147"/>
        <item x="103"/>
        <item x="49"/>
        <item x="131"/>
        <item x="193"/>
        <item x="190"/>
        <item x="428"/>
        <item x="24"/>
        <item x="210"/>
        <item x="108"/>
        <item x="225"/>
        <item x="82"/>
        <item x="469"/>
        <item x="236"/>
        <item x="288"/>
        <item x="377"/>
        <item x="148"/>
        <item x="112"/>
        <item x="316"/>
        <item x="213"/>
        <item x="512"/>
        <item x="401"/>
        <item x="559"/>
        <item x="362"/>
        <item x="451"/>
        <item x="119"/>
        <item x="371"/>
        <item x="258"/>
        <item x="146"/>
        <item x="427"/>
        <item x="410"/>
        <item x="242"/>
        <item x="375"/>
        <item x="404"/>
        <item x="339"/>
        <item x="502"/>
        <item x="34"/>
        <item x="11"/>
        <item x="334"/>
        <item x="12"/>
        <item x="100"/>
        <item x="67"/>
        <item x="233"/>
        <item x="372"/>
        <item x="0"/>
        <item x="78"/>
        <item x="547"/>
        <item x="368"/>
        <item x="475"/>
        <item x="513"/>
        <item x="336"/>
        <item x="32"/>
        <item x="122"/>
        <item x="303"/>
        <item x="412"/>
        <item x="309"/>
        <item x="348"/>
        <item x="333"/>
        <item x="456"/>
        <item x="217"/>
        <item x="80"/>
        <item x="254"/>
        <item x="63"/>
        <item x="26"/>
        <item x="241"/>
        <item x="279"/>
        <item x="153"/>
        <item x="185"/>
        <item x="92"/>
        <item x="140"/>
        <item x="535"/>
        <item x="378"/>
        <item x="460"/>
        <item x="541"/>
        <item x="366"/>
        <item x="511"/>
        <item x="264"/>
        <item x="259"/>
        <item x="142"/>
        <item x="464"/>
        <item x="184"/>
        <item x="351"/>
        <item x="267"/>
        <item x="515"/>
        <item x="476"/>
        <item x="13"/>
        <item x="550"/>
        <item x="323"/>
        <item x="384"/>
        <item x="275"/>
        <item x="56"/>
        <item x="447"/>
        <item x="6"/>
        <item x="214"/>
        <item x="98"/>
        <item x="62"/>
        <item x="285"/>
        <item x="280"/>
        <item x="402"/>
        <item x="222"/>
        <item x="471"/>
        <item x="353"/>
        <item x="47"/>
        <item x="450"/>
        <item x="164"/>
        <item x="521"/>
        <item x="449"/>
        <item x="201"/>
        <item x="482"/>
        <item x="533"/>
        <item x="25"/>
        <item x="383"/>
        <item x="224"/>
        <item x="165"/>
        <item x="71"/>
        <item x="136"/>
        <item x="524"/>
        <item x="431"/>
        <item x="283"/>
        <item x="419"/>
        <item x="426"/>
        <item x="28"/>
        <item x="158"/>
        <item x="243"/>
        <item x="539"/>
        <item x="37"/>
        <item x="356"/>
        <item x="244"/>
        <item x="470"/>
        <item x="461"/>
        <item x="296"/>
        <item x="359"/>
        <item x="260"/>
        <item x="126"/>
        <item x="557"/>
        <item x="128"/>
        <item x="143"/>
        <item x="191"/>
        <item x="132"/>
        <item x="270"/>
        <item x="77"/>
        <item x="179"/>
        <item x="454"/>
        <item x="269"/>
        <item x="562"/>
        <item x="113"/>
        <item x="22"/>
        <item x="35"/>
        <item x="277"/>
        <item x="114"/>
        <item x="435"/>
        <item x="16"/>
        <item x="504"/>
        <item x="394"/>
        <item x="110"/>
        <item x="39"/>
        <item x="265"/>
        <item x="93"/>
        <item x="121"/>
        <item x="124"/>
        <item x="90"/>
        <item x="443"/>
        <item x="240"/>
        <item x="538"/>
        <item x="458"/>
        <item x="556"/>
        <item x="86"/>
        <item x="208"/>
        <item x="152"/>
        <item x="149"/>
        <item x="293"/>
        <item x="554"/>
        <item x="392"/>
        <item x="496"/>
        <item x="177"/>
        <item x="263"/>
        <item x="106"/>
        <item x="520"/>
        <item x="444"/>
        <item x="290"/>
        <item x="374"/>
        <item x="133"/>
        <item x="75"/>
        <item x="246"/>
        <item x="400"/>
        <item x="234"/>
        <item x="64"/>
        <item x="262"/>
        <item x="399"/>
        <item x="523"/>
        <item x="395"/>
        <item x="42"/>
        <item x="95"/>
        <item x="445"/>
        <item x="46"/>
        <item x="302"/>
        <item x="54"/>
        <item x="519"/>
        <item x="417"/>
        <item x="308"/>
        <item x="500"/>
        <item x="528"/>
        <item x="227"/>
        <item x="274"/>
        <item x="514"/>
        <item x="5"/>
        <item x="209"/>
        <item x="430"/>
        <item x="130"/>
        <item x="266"/>
        <item x="508"/>
        <item x="297"/>
        <item x="40"/>
        <item x="248"/>
        <item x="281"/>
        <item x="174"/>
        <item x="327"/>
        <item x="97"/>
        <item x="321"/>
        <item x="182"/>
        <item x="181"/>
        <item x="101"/>
        <item x="409"/>
        <item x="505"/>
        <item x="87"/>
        <item x="497"/>
        <item x="99"/>
        <item x="421"/>
        <item x="52"/>
        <item x="358"/>
        <item x="536"/>
        <item x="85"/>
        <item x="194"/>
        <item x="172"/>
        <item x="393"/>
        <item x="135"/>
        <item x="199"/>
        <item x="406"/>
        <item x="509"/>
        <item x="363"/>
        <item x="61"/>
        <item x="166"/>
        <item x="178"/>
        <item x="30"/>
        <item x="381"/>
        <item x="116"/>
        <item x="204"/>
        <item x="560"/>
        <item x="29"/>
        <item x="45"/>
        <item x="367"/>
        <item x="109"/>
        <item x="2"/>
        <item x="251"/>
        <item x="465"/>
        <item x="84"/>
        <item x="315"/>
        <item x="17"/>
        <item x="79"/>
        <item x="311"/>
        <item x="94"/>
        <item x="127"/>
        <item x="268"/>
        <item x="271"/>
        <item x="478"/>
        <item x="247"/>
        <item x="492"/>
        <item x="70"/>
        <item x="313"/>
        <item x="531"/>
        <item x="44"/>
        <item x="439"/>
        <item x="245"/>
        <item x="66"/>
        <item x="104"/>
        <item x="489"/>
        <item x="83"/>
        <item x="434"/>
        <item x="228"/>
        <item x="53"/>
        <item x="59"/>
        <item x="292"/>
        <item x="220"/>
        <item x="544"/>
        <item x="558"/>
        <item x="295"/>
        <item x="411"/>
        <item x="195"/>
        <item x="517"/>
        <item x="385"/>
        <item x="192"/>
        <item x="36"/>
        <item x="76"/>
        <item x="272"/>
        <item x="522"/>
        <item x="379"/>
        <item x="231"/>
        <item x="442"/>
        <item x="169"/>
        <item x="278"/>
        <item x="33"/>
        <item x="349"/>
        <item x="261"/>
        <item x="8"/>
        <item x="50"/>
        <item x="346"/>
        <item x="18"/>
        <item x="438"/>
        <item x="304"/>
        <item x="257"/>
        <item x="403"/>
        <item x="382"/>
        <item x="549"/>
        <item x="473"/>
        <item x="73"/>
        <item x="183"/>
        <item x="173"/>
        <item x="380"/>
        <item x="408"/>
        <item x="386"/>
        <item x="89"/>
        <item x="286"/>
        <item x="472"/>
        <item x="344"/>
        <item x="387"/>
        <item x="415"/>
        <item x="250"/>
        <item x="526"/>
        <item x="440"/>
        <item x="341"/>
        <item x="7"/>
        <item x="518"/>
        <item x="307"/>
        <item x="176"/>
        <item x="490"/>
        <item x="317"/>
        <item x="551"/>
        <item x="330"/>
        <item x="300"/>
        <item x="337"/>
        <item x="546"/>
        <item x="466"/>
        <item x="331"/>
        <item x="102"/>
        <item x="68"/>
        <item x="57"/>
        <item x="498"/>
        <item x="205"/>
        <item x="1"/>
        <item x="360"/>
        <item x="491"/>
        <item x="328"/>
        <item x="548"/>
        <item x="486"/>
        <item x="31"/>
        <item x="529"/>
        <item x="48"/>
        <item x="256"/>
        <item x="218"/>
        <item x="282"/>
        <item x="506"/>
        <item x="433"/>
        <item x="459"/>
        <item x="390"/>
        <item x="467"/>
        <item x="329"/>
        <item x="163"/>
        <item x="479"/>
        <item x="161"/>
        <item x="352"/>
        <item x="223"/>
        <item x="253"/>
        <item x="347"/>
        <item x="397"/>
        <item x="507"/>
        <item x="167"/>
        <item x="14"/>
        <item x="20"/>
        <item x="9"/>
        <item x="376"/>
        <item x="138"/>
        <item x="532"/>
        <item x="216"/>
        <item x="287"/>
        <item x="423"/>
        <item x="314"/>
        <item x="424"/>
        <item x="354"/>
        <item x="298"/>
        <item x="389"/>
        <item x="325"/>
        <item x="51"/>
        <item x="510"/>
        <item x="338"/>
        <item x="207"/>
        <item x="237"/>
        <item x="276"/>
        <item x="215"/>
        <item x="145"/>
        <item x="202"/>
        <item x="4"/>
        <item x="373"/>
        <item x="345"/>
        <item x="273"/>
        <item x="499"/>
        <item x="468"/>
        <item x="111"/>
        <item x="226"/>
        <item x="484"/>
        <item x="324"/>
        <item x="525"/>
        <item x="238"/>
        <item x="446"/>
        <item x="370"/>
        <item x="391"/>
        <item x="186"/>
        <item x="21"/>
        <item x="413"/>
        <item x="365"/>
        <item x="457"/>
        <item x="189"/>
        <item x="284"/>
        <item x="117"/>
        <item x="91"/>
        <item x="441"/>
        <item x="160"/>
        <item x="485"/>
        <item x="72"/>
        <item x="219"/>
        <item x="96"/>
        <item x="463"/>
        <item x="405"/>
        <item x="455"/>
        <item x="477"/>
        <item x="162"/>
        <item x="481"/>
        <item x="398"/>
        <item x="540"/>
        <item x="200"/>
        <item x="230"/>
        <item x="157"/>
        <item x="488"/>
        <item x="355"/>
        <item x="120"/>
        <item x="88"/>
        <item x="196"/>
        <item x="249"/>
        <item x="81"/>
        <item x="154"/>
        <item x="289"/>
        <item x="361"/>
        <item x="107"/>
        <item x="343"/>
        <item x="326"/>
        <item x="198"/>
        <item x="206"/>
        <item x="156"/>
        <item x="542"/>
        <item x="388"/>
        <item x="187"/>
        <item x="335"/>
        <item x="168"/>
        <item x="60"/>
        <item x="171"/>
        <item x="150"/>
        <item x="369"/>
        <item x="322"/>
        <item x="134"/>
        <item x="364"/>
        <item x="416"/>
        <item x="432"/>
        <item x="255"/>
        <item x="493"/>
        <item x="38"/>
        <item x="3"/>
        <item t="default"/>
      </items>
    </pivotField>
    <pivotField showAll="0">
      <items count="7">
        <item x="0"/>
        <item x="4"/>
        <item x="1"/>
        <item x="3"/>
        <item x="5"/>
        <item x="2"/>
        <item t="default"/>
      </items>
    </pivotField>
    <pivotField showAll="0"/>
    <pivotField axis="axisRow" showAll="0">
      <items count="4">
        <item x="2"/>
        <item x="0"/>
        <item x="1"/>
        <item t="default"/>
      </items>
    </pivotField>
    <pivotField axis="axisRow" showAll="0">
      <items count="5">
        <item x="3"/>
        <item x="2"/>
        <item x="1"/>
        <item x="0"/>
        <item t="default"/>
      </items>
    </pivotField>
    <pivotField showAll="0">
      <items count="12">
        <item x="6"/>
        <item x="9"/>
        <item x="0"/>
        <item x="4"/>
        <item x="8"/>
        <item x="7"/>
        <item x="2"/>
        <item x="3"/>
        <item x="1"/>
        <item x="5"/>
        <item x="10"/>
        <item t="default"/>
      </items>
    </pivotField>
    <pivotField dataField="1" showAll="0"/>
    <pivotField showAll="0"/>
    <pivotField dataField="1" showAll="0"/>
  </pivotFields>
  <rowFields count="2">
    <field x="5"/>
    <field x="6"/>
  </rowFields>
  <rowItems count="16">
    <i>
      <x/>
    </i>
    <i r="1">
      <x/>
    </i>
    <i r="1">
      <x v="1"/>
    </i>
    <i r="1">
      <x v="2"/>
    </i>
    <i r="1">
      <x v="3"/>
    </i>
    <i>
      <x v="1"/>
    </i>
    <i r="1">
      <x/>
    </i>
    <i r="1">
      <x v="1"/>
    </i>
    <i r="1">
      <x v="2"/>
    </i>
    <i r="1">
      <x v="3"/>
    </i>
    <i>
      <x v="2"/>
    </i>
    <i r="1">
      <x/>
    </i>
    <i r="1">
      <x v="1"/>
    </i>
    <i r="1">
      <x v="2"/>
    </i>
    <i r="1">
      <x v="3"/>
    </i>
    <i t="grand">
      <x/>
    </i>
  </rowItems>
  <colFields count="1">
    <field x="-2"/>
  </colFields>
  <colItems count="2">
    <i>
      <x/>
    </i>
    <i i="1">
      <x v="1"/>
    </i>
  </colItems>
  <dataFields count="2">
    <dataField name="Sum of Quantity" fld="8" baseField="0" baseItem="0"/>
    <dataField name="Sum of Total Sales" fld="10" baseField="0" baseItem="0"/>
  </dataFields>
  <chartFormats count="4">
    <chartFormat chart="15" format="1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5" format="12"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B7A0DB-C296-411C-8353-5223ED7F5BEF}"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Y45:Z52" firstHeaderRow="1" firstDataRow="1" firstDataCol="1"/>
  <pivotFields count="11">
    <pivotField showAll="0"/>
    <pivotField showAll="0">
      <items count="181">
        <item x="135"/>
        <item x="150"/>
        <item x="53"/>
        <item x="43"/>
        <item x="55"/>
        <item x="120"/>
        <item x="71"/>
        <item x="79"/>
        <item x="26"/>
        <item x="127"/>
        <item x="169"/>
        <item x="156"/>
        <item x="176"/>
        <item x="110"/>
        <item x="1"/>
        <item x="164"/>
        <item x="0"/>
        <item x="82"/>
        <item x="68"/>
        <item x="144"/>
        <item x="61"/>
        <item x="108"/>
        <item x="17"/>
        <item x="157"/>
        <item x="52"/>
        <item x="16"/>
        <item x="147"/>
        <item x="94"/>
        <item x="145"/>
        <item x="66"/>
        <item x="167"/>
        <item x="20"/>
        <item x="129"/>
        <item x="105"/>
        <item x="50"/>
        <item x="103"/>
        <item x="15"/>
        <item x="139"/>
        <item x="5"/>
        <item x="38"/>
        <item x="73"/>
        <item x="87"/>
        <item x="137"/>
        <item x="24"/>
        <item x="143"/>
        <item x="76"/>
        <item x="114"/>
        <item x="85"/>
        <item x="146"/>
        <item x="93"/>
        <item x="163"/>
        <item x="109"/>
        <item x="6"/>
        <item x="78"/>
        <item x="152"/>
        <item x="116"/>
        <item x="172"/>
        <item x="31"/>
        <item x="11"/>
        <item x="136"/>
        <item x="37"/>
        <item x="98"/>
        <item x="46"/>
        <item x="36"/>
        <item x="118"/>
        <item x="54"/>
        <item x="166"/>
        <item x="160"/>
        <item x="25"/>
        <item x="22"/>
        <item x="44"/>
        <item x="45"/>
        <item x="112"/>
        <item x="51"/>
        <item x="178"/>
        <item x="34"/>
        <item x="27"/>
        <item x="64"/>
        <item x="32"/>
        <item x="23"/>
        <item x="132"/>
        <item x="149"/>
        <item x="162"/>
        <item x="100"/>
        <item x="158"/>
        <item x="125"/>
        <item x="42"/>
        <item x="123"/>
        <item x="2"/>
        <item x="63"/>
        <item x="175"/>
        <item x="10"/>
        <item x="4"/>
        <item x="9"/>
        <item x="88"/>
        <item x="104"/>
        <item x="8"/>
        <item x="33"/>
        <item x="140"/>
        <item x="141"/>
        <item x="124"/>
        <item x="174"/>
        <item x="28"/>
        <item x="69"/>
        <item x="58"/>
        <item x="80"/>
        <item x="131"/>
        <item x="96"/>
        <item x="77"/>
        <item x="134"/>
        <item x="133"/>
        <item x="168"/>
        <item x="48"/>
        <item x="148"/>
        <item x="67"/>
        <item x="121"/>
        <item x="74"/>
        <item x="19"/>
        <item x="81"/>
        <item x="130"/>
        <item x="72"/>
        <item x="65"/>
        <item x="179"/>
        <item x="126"/>
        <item x="59"/>
        <item x="21"/>
        <item x="117"/>
        <item x="35"/>
        <item x="138"/>
        <item x="170"/>
        <item x="62"/>
        <item x="92"/>
        <item x="60"/>
        <item x="90"/>
        <item x="151"/>
        <item x="107"/>
        <item x="155"/>
        <item x="128"/>
        <item x="177"/>
        <item x="89"/>
        <item x="115"/>
        <item x="41"/>
        <item x="113"/>
        <item x="161"/>
        <item x="29"/>
        <item x="84"/>
        <item x="171"/>
        <item x="14"/>
        <item x="49"/>
        <item x="142"/>
        <item x="7"/>
        <item x="86"/>
        <item x="122"/>
        <item x="119"/>
        <item x="97"/>
        <item x="83"/>
        <item x="101"/>
        <item x="95"/>
        <item x="99"/>
        <item x="153"/>
        <item x="106"/>
        <item x="13"/>
        <item x="111"/>
        <item x="3"/>
        <item x="75"/>
        <item x="173"/>
        <item x="70"/>
        <item x="56"/>
        <item x="12"/>
        <item x="30"/>
        <item x="57"/>
        <item x="154"/>
        <item x="40"/>
        <item x="102"/>
        <item x="39"/>
        <item x="91"/>
        <item x="159"/>
        <item x="165"/>
        <item x="18"/>
        <item x="47"/>
        <item t="default"/>
      </items>
    </pivotField>
    <pivotField showAll="0">
      <items count="564">
        <item x="418"/>
        <item x="15"/>
        <item x="561"/>
        <item x="105"/>
        <item x="305"/>
        <item x="340"/>
        <item x="170"/>
        <item x="474"/>
        <item x="115"/>
        <item x="19"/>
        <item x="235"/>
        <item x="23"/>
        <item x="422"/>
        <item x="69"/>
        <item x="555"/>
        <item x="350"/>
        <item x="197"/>
        <item x="129"/>
        <item x="43"/>
        <item x="332"/>
        <item x="221"/>
        <item x="125"/>
        <item x="306"/>
        <item x="180"/>
        <item x="527"/>
        <item x="155"/>
        <item x="414"/>
        <item x="10"/>
        <item x="462"/>
        <item x="552"/>
        <item x="294"/>
        <item x="503"/>
        <item x="252"/>
        <item x="159"/>
        <item x="495"/>
        <item x="312"/>
        <item x="501"/>
        <item x="553"/>
        <item x="545"/>
        <item x="487"/>
        <item x="310"/>
        <item x="301"/>
        <item x="291"/>
        <item x="137"/>
        <item x="212"/>
        <item x="229"/>
        <item x="429"/>
        <item x="118"/>
        <item x="320"/>
        <item x="318"/>
        <item x="425"/>
        <item x="357"/>
        <item x="239"/>
        <item x="483"/>
        <item x="453"/>
        <item x="139"/>
        <item x="420"/>
        <item x="74"/>
        <item x="516"/>
        <item x="534"/>
        <item x="530"/>
        <item x="448"/>
        <item x="232"/>
        <item x="537"/>
        <item x="211"/>
        <item x="437"/>
        <item x="407"/>
        <item x="151"/>
        <item x="543"/>
        <item x="41"/>
        <item x="175"/>
        <item x="480"/>
        <item x="123"/>
        <item x="494"/>
        <item x="299"/>
        <item x="144"/>
        <item x="188"/>
        <item x="58"/>
        <item x="55"/>
        <item x="65"/>
        <item x="452"/>
        <item x="27"/>
        <item x="436"/>
        <item x="342"/>
        <item x="203"/>
        <item x="141"/>
        <item x="396"/>
        <item x="319"/>
        <item x="147"/>
        <item x="103"/>
        <item x="49"/>
        <item x="131"/>
        <item x="193"/>
        <item x="190"/>
        <item x="428"/>
        <item x="24"/>
        <item x="210"/>
        <item x="108"/>
        <item x="225"/>
        <item x="82"/>
        <item x="469"/>
        <item x="236"/>
        <item x="288"/>
        <item x="377"/>
        <item x="148"/>
        <item x="112"/>
        <item x="316"/>
        <item x="213"/>
        <item x="512"/>
        <item x="401"/>
        <item x="559"/>
        <item x="362"/>
        <item x="451"/>
        <item x="119"/>
        <item x="371"/>
        <item x="258"/>
        <item x="146"/>
        <item x="427"/>
        <item x="410"/>
        <item x="242"/>
        <item x="375"/>
        <item x="404"/>
        <item x="339"/>
        <item x="502"/>
        <item x="34"/>
        <item x="11"/>
        <item x="334"/>
        <item x="12"/>
        <item x="100"/>
        <item x="67"/>
        <item x="233"/>
        <item x="372"/>
        <item x="0"/>
        <item x="78"/>
        <item x="547"/>
        <item x="368"/>
        <item x="475"/>
        <item x="513"/>
        <item x="336"/>
        <item x="32"/>
        <item x="122"/>
        <item x="303"/>
        <item x="412"/>
        <item x="309"/>
        <item x="348"/>
        <item x="333"/>
        <item x="456"/>
        <item x="217"/>
        <item x="80"/>
        <item x="254"/>
        <item x="63"/>
        <item x="26"/>
        <item x="241"/>
        <item x="279"/>
        <item x="153"/>
        <item x="185"/>
        <item x="92"/>
        <item x="140"/>
        <item x="535"/>
        <item x="378"/>
        <item x="460"/>
        <item x="541"/>
        <item x="366"/>
        <item x="511"/>
        <item x="264"/>
        <item x="259"/>
        <item x="142"/>
        <item x="464"/>
        <item x="184"/>
        <item x="351"/>
        <item x="267"/>
        <item x="515"/>
        <item x="476"/>
        <item x="13"/>
        <item x="550"/>
        <item x="323"/>
        <item x="384"/>
        <item x="275"/>
        <item x="56"/>
        <item x="447"/>
        <item x="6"/>
        <item x="214"/>
        <item x="98"/>
        <item x="62"/>
        <item x="285"/>
        <item x="280"/>
        <item x="402"/>
        <item x="222"/>
        <item x="471"/>
        <item x="353"/>
        <item x="47"/>
        <item x="450"/>
        <item x="164"/>
        <item x="521"/>
        <item x="449"/>
        <item x="201"/>
        <item x="482"/>
        <item x="533"/>
        <item x="25"/>
        <item x="383"/>
        <item x="224"/>
        <item x="165"/>
        <item x="71"/>
        <item x="136"/>
        <item x="524"/>
        <item x="431"/>
        <item x="283"/>
        <item x="419"/>
        <item x="426"/>
        <item x="28"/>
        <item x="158"/>
        <item x="243"/>
        <item x="539"/>
        <item x="37"/>
        <item x="356"/>
        <item x="244"/>
        <item x="470"/>
        <item x="461"/>
        <item x="296"/>
        <item x="359"/>
        <item x="260"/>
        <item x="126"/>
        <item x="557"/>
        <item x="128"/>
        <item x="143"/>
        <item x="191"/>
        <item x="132"/>
        <item x="270"/>
        <item x="77"/>
        <item x="179"/>
        <item x="454"/>
        <item x="269"/>
        <item x="562"/>
        <item x="113"/>
        <item x="22"/>
        <item x="35"/>
        <item x="277"/>
        <item x="114"/>
        <item x="435"/>
        <item x="16"/>
        <item x="504"/>
        <item x="394"/>
        <item x="110"/>
        <item x="39"/>
        <item x="265"/>
        <item x="93"/>
        <item x="121"/>
        <item x="124"/>
        <item x="90"/>
        <item x="443"/>
        <item x="240"/>
        <item x="538"/>
        <item x="458"/>
        <item x="556"/>
        <item x="86"/>
        <item x="208"/>
        <item x="152"/>
        <item x="149"/>
        <item x="293"/>
        <item x="554"/>
        <item x="392"/>
        <item x="496"/>
        <item x="177"/>
        <item x="263"/>
        <item x="106"/>
        <item x="520"/>
        <item x="444"/>
        <item x="290"/>
        <item x="374"/>
        <item x="133"/>
        <item x="75"/>
        <item x="246"/>
        <item x="400"/>
        <item x="234"/>
        <item x="64"/>
        <item x="262"/>
        <item x="399"/>
        <item x="523"/>
        <item x="395"/>
        <item x="42"/>
        <item x="95"/>
        <item x="445"/>
        <item x="46"/>
        <item x="302"/>
        <item x="54"/>
        <item x="519"/>
        <item x="417"/>
        <item x="308"/>
        <item x="500"/>
        <item x="528"/>
        <item x="227"/>
        <item x="274"/>
        <item x="514"/>
        <item x="5"/>
        <item x="209"/>
        <item x="430"/>
        <item x="130"/>
        <item x="266"/>
        <item x="508"/>
        <item x="297"/>
        <item x="40"/>
        <item x="248"/>
        <item x="281"/>
        <item x="174"/>
        <item x="327"/>
        <item x="97"/>
        <item x="321"/>
        <item x="182"/>
        <item x="181"/>
        <item x="101"/>
        <item x="409"/>
        <item x="505"/>
        <item x="87"/>
        <item x="497"/>
        <item x="99"/>
        <item x="421"/>
        <item x="52"/>
        <item x="358"/>
        <item x="536"/>
        <item x="85"/>
        <item x="194"/>
        <item x="172"/>
        <item x="393"/>
        <item x="135"/>
        <item x="199"/>
        <item x="406"/>
        <item x="509"/>
        <item x="363"/>
        <item x="61"/>
        <item x="166"/>
        <item x="178"/>
        <item x="30"/>
        <item x="381"/>
        <item x="116"/>
        <item x="204"/>
        <item x="560"/>
        <item x="29"/>
        <item x="45"/>
        <item x="367"/>
        <item x="109"/>
        <item x="2"/>
        <item x="251"/>
        <item x="465"/>
        <item x="84"/>
        <item x="315"/>
        <item x="17"/>
        <item x="79"/>
        <item x="311"/>
        <item x="94"/>
        <item x="127"/>
        <item x="268"/>
        <item x="271"/>
        <item x="478"/>
        <item x="247"/>
        <item x="492"/>
        <item x="70"/>
        <item x="313"/>
        <item x="531"/>
        <item x="44"/>
        <item x="439"/>
        <item x="245"/>
        <item x="66"/>
        <item x="104"/>
        <item x="489"/>
        <item x="83"/>
        <item x="434"/>
        <item x="228"/>
        <item x="53"/>
        <item x="59"/>
        <item x="292"/>
        <item x="220"/>
        <item x="544"/>
        <item x="558"/>
        <item x="295"/>
        <item x="411"/>
        <item x="195"/>
        <item x="517"/>
        <item x="385"/>
        <item x="192"/>
        <item x="36"/>
        <item x="76"/>
        <item x="272"/>
        <item x="522"/>
        <item x="379"/>
        <item x="231"/>
        <item x="442"/>
        <item x="169"/>
        <item x="278"/>
        <item x="33"/>
        <item x="349"/>
        <item x="261"/>
        <item x="8"/>
        <item x="50"/>
        <item x="346"/>
        <item x="18"/>
        <item x="438"/>
        <item x="304"/>
        <item x="257"/>
        <item x="403"/>
        <item x="382"/>
        <item x="549"/>
        <item x="473"/>
        <item x="73"/>
        <item x="183"/>
        <item x="173"/>
        <item x="380"/>
        <item x="408"/>
        <item x="386"/>
        <item x="89"/>
        <item x="286"/>
        <item x="472"/>
        <item x="344"/>
        <item x="387"/>
        <item x="415"/>
        <item x="250"/>
        <item x="526"/>
        <item x="440"/>
        <item x="341"/>
        <item x="7"/>
        <item x="518"/>
        <item x="307"/>
        <item x="176"/>
        <item x="490"/>
        <item x="317"/>
        <item x="551"/>
        <item x="330"/>
        <item x="300"/>
        <item x="337"/>
        <item x="546"/>
        <item x="466"/>
        <item x="331"/>
        <item x="102"/>
        <item x="68"/>
        <item x="57"/>
        <item x="498"/>
        <item x="205"/>
        <item x="1"/>
        <item x="360"/>
        <item x="491"/>
        <item x="328"/>
        <item x="548"/>
        <item x="486"/>
        <item x="31"/>
        <item x="529"/>
        <item x="48"/>
        <item x="256"/>
        <item x="218"/>
        <item x="282"/>
        <item x="506"/>
        <item x="433"/>
        <item x="459"/>
        <item x="390"/>
        <item x="467"/>
        <item x="329"/>
        <item x="163"/>
        <item x="479"/>
        <item x="161"/>
        <item x="352"/>
        <item x="223"/>
        <item x="253"/>
        <item x="347"/>
        <item x="397"/>
        <item x="507"/>
        <item x="167"/>
        <item x="14"/>
        <item x="20"/>
        <item x="9"/>
        <item x="376"/>
        <item x="138"/>
        <item x="532"/>
        <item x="216"/>
        <item x="287"/>
        <item x="423"/>
        <item x="314"/>
        <item x="424"/>
        <item x="354"/>
        <item x="298"/>
        <item x="389"/>
        <item x="325"/>
        <item x="51"/>
        <item x="510"/>
        <item x="338"/>
        <item x="207"/>
        <item x="237"/>
        <item x="276"/>
        <item x="215"/>
        <item x="145"/>
        <item x="202"/>
        <item x="4"/>
        <item x="373"/>
        <item x="345"/>
        <item x="273"/>
        <item x="499"/>
        <item x="468"/>
        <item x="111"/>
        <item x="226"/>
        <item x="484"/>
        <item x="324"/>
        <item x="525"/>
        <item x="238"/>
        <item x="446"/>
        <item x="370"/>
        <item x="391"/>
        <item x="186"/>
        <item x="21"/>
        <item x="413"/>
        <item x="365"/>
        <item x="457"/>
        <item x="189"/>
        <item x="284"/>
        <item x="117"/>
        <item x="91"/>
        <item x="441"/>
        <item x="160"/>
        <item x="485"/>
        <item x="72"/>
        <item x="219"/>
        <item x="96"/>
        <item x="463"/>
        <item x="405"/>
        <item x="455"/>
        <item x="477"/>
        <item x="162"/>
        <item x="481"/>
        <item x="398"/>
        <item x="540"/>
        <item x="200"/>
        <item x="230"/>
        <item x="157"/>
        <item x="488"/>
        <item x="355"/>
        <item x="120"/>
        <item x="88"/>
        <item x="196"/>
        <item x="249"/>
        <item x="81"/>
        <item x="154"/>
        <item x="289"/>
        <item x="361"/>
        <item x="107"/>
        <item x="343"/>
        <item x="326"/>
        <item x="198"/>
        <item x="206"/>
        <item x="156"/>
        <item x="542"/>
        <item x="388"/>
        <item x="187"/>
        <item x="335"/>
        <item x="168"/>
        <item x="60"/>
        <item x="171"/>
        <item x="150"/>
        <item x="369"/>
        <item x="322"/>
        <item x="134"/>
        <item x="364"/>
        <item x="416"/>
        <item x="432"/>
        <item x="255"/>
        <item x="493"/>
        <item x="38"/>
        <item x="3"/>
        <item t="default"/>
      </items>
    </pivotField>
    <pivotField axis="axisRow" showAll="0">
      <items count="7">
        <item x="0"/>
        <item x="4"/>
        <item x="1"/>
        <item x="3"/>
        <item x="5"/>
        <item x="2"/>
        <item t="default"/>
      </items>
    </pivotField>
    <pivotField showAll="0"/>
    <pivotField showAll="0">
      <items count="4">
        <item x="2"/>
        <item x="0"/>
        <item x="1"/>
        <item t="default"/>
      </items>
    </pivotField>
    <pivotField showAll="0">
      <items count="5">
        <item x="3"/>
        <item x="2"/>
        <item x="1"/>
        <item x="0"/>
        <item t="default"/>
      </items>
    </pivotField>
    <pivotField showAll="0">
      <items count="12">
        <item x="6"/>
        <item x="9"/>
        <item x="0"/>
        <item x="4"/>
        <item x="8"/>
        <item x="7"/>
        <item x="2"/>
        <item x="3"/>
        <item x="1"/>
        <item x="5"/>
        <item x="10"/>
        <item t="default"/>
      </items>
    </pivotField>
    <pivotField showAll="0"/>
    <pivotField showAll="0"/>
    <pivotField dataField="1" showAll="0"/>
  </pivotFields>
  <rowFields count="1">
    <field x="3"/>
  </rowFields>
  <rowItems count="7">
    <i>
      <x/>
    </i>
    <i>
      <x v="1"/>
    </i>
    <i>
      <x v="2"/>
    </i>
    <i>
      <x v="3"/>
    </i>
    <i>
      <x v="4"/>
    </i>
    <i>
      <x v="5"/>
    </i>
    <i t="grand">
      <x/>
    </i>
  </rowItems>
  <colItems count="1">
    <i/>
  </colItems>
  <dataFields count="1">
    <dataField name="Sum of Total Sales" fld="10" baseField="0" baseItem="0"/>
  </dataFields>
  <chartFormats count="9">
    <chartFormat chart="26"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3" count="1" selected="0">
            <x v="0"/>
          </reference>
        </references>
      </pivotArea>
    </chartFormat>
    <chartFormat chart="28" format="4">
      <pivotArea type="data" outline="0" fieldPosition="0">
        <references count="2">
          <reference field="4294967294" count="1" selected="0">
            <x v="0"/>
          </reference>
          <reference field="3" count="1" selected="0">
            <x v="1"/>
          </reference>
        </references>
      </pivotArea>
    </chartFormat>
    <chartFormat chart="28" format="5">
      <pivotArea type="data" outline="0" fieldPosition="0">
        <references count="2">
          <reference field="4294967294" count="1" selected="0">
            <x v="0"/>
          </reference>
          <reference field="3" count="1" selected="0">
            <x v="2"/>
          </reference>
        </references>
      </pivotArea>
    </chartFormat>
    <chartFormat chart="28" format="6">
      <pivotArea type="data" outline="0" fieldPosition="0">
        <references count="2">
          <reference field="4294967294" count="1" selected="0">
            <x v="0"/>
          </reference>
          <reference field="3" count="1" selected="0">
            <x v="3"/>
          </reference>
        </references>
      </pivotArea>
    </chartFormat>
    <chartFormat chart="28" format="7">
      <pivotArea type="data" outline="0" fieldPosition="0">
        <references count="2">
          <reference field="4294967294" count="1" selected="0">
            <x v="0"/>
          </reference>
          <reference field="3" count="1" selected="0">
            <x v="4"/>
          </reference>
        </references>
      </pivotArea>
    </chartFormat>
    <chartFormat chart="28" format="8">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B580-2913-4D8C-AE9C-80244329C33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N32:O44" firstHeaderRow="1" firstDataRow="1" firstDataCol="1"/>
  <pivotFields count="11">
    <pivotField showAll="0"/>
    <pivotField showAll="0">
      <items count="181">
        <item x="135"/>
        <item x="150"/>
        <item x="53"/>
        <item x="43"/>
        <item x="55"/>
        <item x="120"/>
        <item x="71"/>
        <item x="79"/>
        <item x="26"/>
        <item x="127"/>
        <item x="169"/>
        <item x="156"/>
        <item x="176"/>
        <item x="110"/>
        <item x="1"/>
        <item x="164"/>
        <item x="0"/>
        <item x="82"/>
        <item x="68"/>
        <item x="144"/>
        <item x="61"/>
        <item x="108"/>
        <item x="17"/>
        <item x="157"/>
        <item x="52"/>
        <item x="16"/>
        <item x="147"/>
        <item x="94"/>
        <item x="145"/>
        <item x="66"/>
        <item x="167"/>
        <item x="20"/>
        <item x="129"/>
        <item x="105"/>
        <item x="50"/>
        <item x="103"/>
        <item x="15"/>
        <item x="139"/>
        <item x="5"/>
        <item x="38"/>
        <item x="73"/>
        <item x="87"/>
        <item x="137"/>
        <item x="24"/>
        <item x="143"/>
        <item x="76"/>
        <item x="114"/>
        <item x="85"/>
        <item x="146"/>
        <item x="93"/>
        <item x="163"/>
        <item x="109"/>
        <item x="6"/>
        <item x="78"/>
        <item x="152"/>
        <item x="116"/>
        <item x="172"/>
        <item x="31"/>
        <item x="11"/>
        <item x="136"/>
        <item x="37"/>
        <item x="98"/>
        <item x="46"/>
        <item x="36"/>
        <item x="118"/>
        <item x="54"/>
        <item x="166"/>
        <item x="160"/>
        <item x="25"/>
        <item x="22"/>
        <item x="44"/>
        <item x="45"/>
        <item x="112"/>
        <item x="51"/>
        <item x="178"/>
        <item x="34"/>
        <item x="27"/>
        <item x="64"/>
        <item x="32"/>
        <item x="23"/>
        <item x="132"/>
        <item x="149"/>
        <item x="162"/>
        <item x="100"/>
        <item x="158"/>
        <item x="125"/>
        <item x="42"/>
        <item x="123"/>
        <item x="2"/>
        <item x="63"/>
        <item x="175"/>
        <item x="10"/>
        <item x="4"/>
        <item x="9"/>
        <item x="88"/>
        <item x="104"/>
        <item x="8"/>
        <item x="33"/>
        <item x="140"/>
        <item x="141"/>
        <item x="124"/>
        <item x="174"/>
        <item x="28"/>
        <item x="69"/>
        <item x="58"/>
        <item x="80"/>
        <item x="131"/>
        <item x="96"/>
        <item x="77"/>
        <item x="134"/>
        <item x="133"/>
        <item x="168"/>
        <item x="48"/>
        <item x="148"/>
        <item x="67"/>
        <item x="121"/>
        <item x="74"/>
        <item x="19"/>
        <item x="81"/>
        <item x="130"/>
        <item x="72"/>
        <item x="65"/>
        <item x="179"/>
        <item x="126"/>
        <item x="59"/>
        <item x="21"/>
        <item x="117"/>
        <item x="35"/>
        <item x="138"/>
        <item x="170"/>
        <item x="62"/>
        <item x="92"/>
        <item x="60"/>
        <item x="90"/>
        <item x="151"/>
        <item x="107"/>
        <item x="155"/>
        <item x="128"/>
        <item x="177"/>
        <item x="89"/>
        <item x="115"/>
        <item x="41"/>
        <item x="113"/>
        <item x="161"/>
        <item x="29"/>
        <item x="84"/>
        <item x="171"/>
        <item x="14"/>
        <item x="49"/>
        <item x="142"/>
        <item x="7"/>
        <item x="86"/>
        <item x="122"/>
        <item x="119"/>
        <item x="97"/>
        <item x="83"/>
        <item x="101"/>
        <item x="95"/>
        <item x="99"/>
        <item x="153"/>
        <item x="106"/>
        <item x="13"/>
        <item x="111"/>
        <item x="3"/>
        <item x="75"/>
        <item x="173"/>
        <item x="70"/>
        <item x="56"/>
        <item x="12"/>
        <item x="30"/>
        <item x="57"/>
        <item x="154"/>
        <item x="40"/>
        <item x="102"/>
        <item x="39"/>
        <item x="91"/>
        <item x="159"/>
        <item x="165"/>
        <item x="18"/>
        <item x="47"/>
        <item t="default"/>
      </items>
    </pivotField>
    <pivotField showAll="0">
      <items count="564">
        <item x="418"/>
        <item x="15"/>
        <item x="561"/>
        <item x="105"/>
        <item x="305"/>
        <item x="340"/>
        <item x="170"/>
        <item x="474"/>
        <item x="115"/>
        <item x="19"/>
        <item x="235"/>
        <item x="23"/>
        <item x="422"/>
        <item x="69"/>
        <item x="555"/>
        <item x="350"/>
        <item x="197"/>
        <item x="129"/>
        <item x="43"/>
        <item x="332"/>
        <item x="221"/>
        <item x="125"/>
        <item x="306"/>
        <item x="180"/>
        <item x="527"/>
        <item x="155"/>
        <item x="414"/>
        <item x="10"/>
        <item x="462"/>
        <item x="552"/>
        <item x="294"/>
        <item x="503"/>
        <item x="252"/>
        <item x="159"/>
        <item x="495"/>
        <item x="312"/>
        <item x="501"/>
        <item x="553"/>
        <item x="545"/>
        <item x="487"/>
        <item x="310"/>
        <item x="301"/>
        <item x="291"/>
        <item x="137"/>
        <item x="212"/>
        <item x="229"/>
        <item x="429"/>
        <item x="118"/>
        <item x="320"/>
        <item x="318"/>
        <item x="425"/>
        <item x="357"/>
        <item x="239"/>
        <item x="483"/>
        <item x="453"/>
        <item x="139"/>
        <item x="420"/>
        <item x="74"/>
        <item x="516"/>
        <item x="534"/>
        <item x="530"/>
        <item x="448"/>
        <item x="232"/>
        <item x="537"/>
        <item x="211"/>
        <item x="437"/>
        <item x="407"/>
        <item x="151"/>
        <item x="543"/>
        <item x="41"/>
        <item x="175"/>
        <item x="480"/>
        <item x="123"/>
        <item x="494"/>
        <item x="299"/>
        <item x="144"/>
        <item x="188"/>
        <item x="58"/>
        <item x="55"/>
        <item x="65"/>
        <item x="452"/>
        <item x="27"/>
        <item x="436"/>
        <item x="342"/>
        <item x="203"/>
        <item x="141"/>
        <item x="396"/>
        <item x="319"/>
        <item x="147"/>
        <item x="103"/>
        <item x="49"/>
        <item x="131"/>
        <item x="193"/>
        <item x="190"/>
        <item x="428"/>
        <item x="24"/>
        <item x="210"/>
        <item x="108"/>
        <item x="225"/>
        <item x="82"/>
        <item x="469"/>
        <item x="236"/>
        <item x="288"/>
        <item x="377"/>
        <item x="148"/>
        <item x="112"/>
        <item x="316"/>
        <item x="213"/>
        <item x="512"/>
        <item x="401"/>
        <item x="559"/>
        <item x="362"/>
        <item x="451"/>
        <item x="119"/>
        <item x="371"/>
        <item x="258"/>
        <item x="146"/>
        <item x="427"/>
        <item x="410"/>
        <item x="242"/>
        <item x="375"/>
        <item x="404"/>
        <item x="339"/>
        <item x="502"/>
        <item x="34"/>
        <item x="11"/>
        <item x="334"/>
        <item x="12"/>
        <item x="100"/>
        <item x="67"/>
        <item x="233"/>
        <item x="372"/>
        <item x="0"/>
        <item x="78"/>
        <item x="547"/>
        <item x="368"/>
        <item x="475"/>
        <item x="513"/>
        <item x="336"/>
        <item x="32"/>
        <item x="122"/>
        <item x="303"/>
        <item x="412"/>
        <item x="309"/>
        <item x="348"/>
        <item x="333"/>
        <item x="456"/>
        <item x="217"/>
        <item x="80"/>
        <item x="254"/>
        <item x="63"/>
        <item x="26"/>
        <item x="241"/>
        <item x="279"/>
        <item x="153"/>
        <item x="185"/>
        <item x="92"/>
        <item x="140"/>
        <item x="535"/>
        <item x="378"/>
        <item x="460"/>
        <item x="541"/>
        <item x="366"/>
        <item x="511"/>
        <item x="264"/>
        <item x="259"/>
        <item x="142"/>
        <item x="464"/>
        <item x="184"/>
        <item x="351"/>
        <item x="267"/>
        <item x="515"/>
        <item x="476"/>
        <item x="13"/>
        <item x="550"/>
        <item x="323"/>
        <item x="384"/>
        <item x="275"/>
        <item x="56"/>
        <item x="447"/>
        <item x="6"/>
        <item x="214"/>
        <item x="98"/>
        <item x="62"/>
        <item x="285"/>
        <item x="280"/>
        <item x="402"/>
        <item x="222"/>
        <item x="471"/>
        <item x="353"/>
        <item x="47"/>
        <item x="450"/>
        <item x="164"/>
        <item x="521"/>
        <item x="449"/>
        <item x="201"/>
        <item x="482"/>
        <item x="533"/>
        <item x="25"/>
        <item x="383"/>
        <item x="224"/>
        <item x="165"/>
        <item x="71"/>
        <item x="136"/>
        <item x="524"/>
        <item x="431"/>
        <item x="283"/>
        <item x="419"/>
        <item x="426"/>
        <item x="28"/>
        <item x="158"/>
        <item x="243"/>
        <item x="539"/>
        <item x="37"/>
        <item x="356"/>
        <item x="244"/>
        <item x="470"/>
        <item x="461"/>
        <item x="296"/>
        <item x="359"/>
        <item x="260"/>
        <item x="126"/>
        <item x="557"/>
        <item x="128"/>
        <item x="143"/>
        <item x="191"/>
        <item x="132"/>
        <item x="270"/>
        <item x="77"/>
        <item x="179"/>
        <item x="454"/>
        <item x="269"/>
        <item x="562"/>
        <item x="113"/>
        <item x="22"/>
        <item x="35"/>
        <item x="277"/>
        <item x="114"/>
        <item x="435"/>
        <item x="16"/>
        <item x="504"/>
        <item x="394"/>
        <item x="110"/>
        <item x="39"/>
        <item x="265"/>
        <item x="93"/>
        <item x="121"/>
        <item x="124"/>
        <item x="90"/>
        <item x="443"/>
        <item x="240"/>
        <item x="538"/>
        <item x="458"/>
        <item x="556"/>
        <item x="86"/>
        <item x="208"/>
        <item x="152"/>
        <item x="149"/>
        <item x="293"/>
        <item x="554"/>
        <item x="392"/>
        <item x="496"/>
        <item x="177"/>
        <item x="263"/>
        <item x="106"/>
        <item x="520"/>
        <item x="444"/>
        <item x="290"/>
        <item x="374"/>
        <item x="133"/>
        <item x="75"/>
        <item x="246"/>
        <item x="400"/>
        <item x="234"/>
        <item x="64"/>
        <item x="262"/>
        <item x="399"/>
        <item x="523"/>
        <item x="395"/>
        <item x="42"/>
        <item x="95"/>
        <item x="445"/>
        <item x="46"/>
        <item x="302"/>
        <item x="54"/>
        <item x="519"/>
        <item x="417"/>
        <item x="308"/>
        <item x="500"/>
        <item x="528"/>
        <item x="227"/>
        <item x="274"/>
        <item x="514"/>
        <item x="5"/>
        <item x="209"/>
        <item x="430"/>
        <item x="130"/>
        <item x="266"/>
        <item x="508"/>
        <item x="297"/>
        <item x="40"/>
        <item x="248"/>
        <item x="281"/>
        <item x="174"/>
        <item x="327"/>
        <item x="97"/>
        <item x="321"/>
        <item x="182"/>
        <item x="181"/>
        <item x="101"/>
        <item x="409"/>
        <item x="505"/>
        <item x="87"/>
        <item x="497"/>
        <item x="99"/>
        <item x="421"/>
        <item x="52"/>
        <item x="358"/>
        <item x="536"/>
        <item x="85"/>
        <item x="194"/>
        <item x="172"/>
        <item x="393"/>
        <item x="135"/>
        <item x="199"/>
        <item x="406"/>
        <item x="509"/>
        <item x="363"/>
        <item x="61"/>
        <item x="166"/>
        <item x="178"/>
        <item x="30"/>
        <item x="381"/>
        <item x="116"/>
        <item x="204"/>
        <item x="560"/>
        <item x="29"/>
        <item x="45"/>
        <item x="367"/>
        <item x="109"/>
        <item x="2"/>
        <item x="251"/>
        <item x="465"/>
        <item x="84"/>
        <item x="315"/>
        <item x="17"/>
        <item x="79"/>
        <item x="311"/>
        <item x="94"/>
        <item x="127"/>
        <item x="268"/>
        <item x="271"/>
        <item x="478"/>
        <item x="247"/>
        <item x="492"/>
        <item x="70"/>
        <item x="313"/>
        <item x="531"/>
        <item x="44"/>
        <item x="439"/>
        <item x="245"/>
        <item x="66"/>
        <item x="104"/>
        <item x="489"/>
        <item x="83"/>
        <item x="434"/>
        <item x="228"/>
        <item x="53"/>
        <item x="59"/>
        <item x="292"/>
        <item x="220"/>
        <item x="544"/>
        <item x="558"/>
        <item x="295"/>
        <item x="411"/>
        <item x="195"/>
        <item x="517"/>
        <item x="385"/>
        <item x="192"/>
        <item x="36"/>
        <item x="76"/>
        <item x="272"/>
        <item x="522"/>
        <item x="379"/>
        <item x="231"/>
        <item x="442"/>
        <item x="169"/>
        <item x="278"/>
        <item x="33"/>
        <item x="349"/>
        <item x="261"/>
        <item x="8"/>
        <item x="50"/>
        <item x="346"/>
        <item x="18"/>
        <item x="438"/>
        <item x="304"/>
        <item x="257"/>
        <item x="403"/>
        <item x="382"/>
        <item x="549"/>
        <item x="473"/>
        <item x="73"/>
        <item x="183"/>
        <item x="173"/>
        <item x="380"/>
        <item x="408"/>
        <item x="386"/>
        <item x="89"/>
        <item x="286"/>
        <item x="472"/>
        <item x="344"/>
        <item x="387"/>
        <item x="415"/>
        <item x="250"/>
        <item x="526"/>
        <item x="440"/>
        <item x="341"/>
        <item x="7"/>
        <item x="518"/>
        <item x="307"/>
        <item x="176"/>
        <item x="490"/>
        <item x="317"/>
        <item x="551"/>
        <item x="330"/>
        <item x="300"/>
        <item x="337"/>
        <item x="546"/>
        <item x="466"/>
        <item x="331"/>
        <item x="102"/>
        <item x="68"/>
        <item x="57"/>
        <item x="498"/>
        <item x="205"/>
        <item x="1"/>
        <item x="360"/>
        <item x="491"/>
        <item x="328"/>
        <item x="548"/>
        <item x="486"/>
        <item x="31"/>
        <item x="529"/>
        <item x="48"/>
        <item x="256"/>
        <item x="218"/>
        <item x="282"/>
        <item x="506"/>
        <item x="433"/>
        <item x="459"/>
        <item x="390"/>
        <item x="467"/>
        <item x="329"/>
        <item x="163"/>
        <item x="479"/>
        <item x="161"/>
        <item x="352"/>
        <item x="223"/>
        <item x="253"/>
        <item x="347"/>
        <item x="397"/>
        <item x="507"/>
        <item x="167"/>
        <item x="14"/>
        <item x="20"/>
        <item x="9"/>
        <item x="376"/>
        <item x="138"/>
        <item x="532"/>
        <item x="216"/>
        <item x="287"/>
        <item x="423"/>
        <item x="314"/>
        <item x="424"/>
        <item x="354"/>
        <item x="298"/>
        <item x="389"/>
        <item x="325"/>
        <item x="51"/>
        <item x="510"/>
        <item x="338"/>
        <item x="207"/>
        <item x="237"/>
        <item x="276"/>
        <item x="215"/>
        <item x="145"/>
        <item x="202"/>
        <item x="4"/>
        <item x="373"/>
        <item x="345"/>
        <item x="273"/>
        <item x="499"/>
        <item x="468"/>
        <item x="111"/>
        <item x="226"/>
        <item x="484"/>
        <item x="324"/>
        <item x="525"/>
        <item x="238"/>
        <item x="446"/>
        <item x="370"/>
        <item x="391"/>
        <item x="186"/>
        <item x="21"/>
        <item x="413"/>
        <item x="365"/>
        <item x="457"/>
        <item x="189"/>
        <item x="284"/>
        <item x="117"/>
        <item x="91"/>
        <item x="441"/>
        <item x="160"/>
        <item x="485"/>
        <item x="72"/>
        <item x="219"/>
        <item x="96"/>
        <item x="463"/>
        <item x="405"/>
        <item x="455"/>
        <item x="477"/>
        <item x="162"/>
        <item x="481"/>
        <item x="398"/>
        <item x="540"/>
        <item x="200"/>
        <item x="230"/>
        <item x="157"/>
        <item x="488"/>
        <item x="355"/>
        <item x="120"/>
        <item x="88"/>
        <item x="196"/>
        <item x="249"/>
        <item x="81"/>
        <item x="154"/>
        <item x="289"/>
        <item x="361"/>
        <item x="107"/>
        <item x="343"/>
        <item x="326"/>
        <item x="198"/>
        <item x="206"/>
        <item x="156"/>
        <item x="542"/>
        <item x="388"/>
        <item x="187"/>
        <item x="335"/>
        <item x="168"/>
        <item x="60"/>
        <item x="171"/>
        <item x="150"/>
        <item x="369"/>
        <item x="322"/>
        <item x="134"/>
        <item x="364"/>
        <item x="416"/>
        <item x="432"/>
        <item x="255"/>
        <item x="493"/>
        <item x="38"/>
        <item x="3"/>
        <item t="default"/>
      </items>
    </pivotField>
    <pivotField showAll="0">
      <items count="7">
        <item x="0"/>
        <item x="4"/>
        <item x="1"/>
        <item x="3"/>
        <item x="5"/>
        <item x="2"/>
        <item t="default"/>
      </items>
    </pivotField>
    <pivotField showAll="0"/>
    <pivotField showAll="0">
      <items count="4">
        <item x="2"/>
        <item x="0"/>
        <item x="1"/>
        <item t="default"/>
      </items>
    </pivotField>
    <pivotField showAll="0">
      <items count="5">
        <item x="3"/>
        <item x="2"/>
        <item x="1"/>
        <item x="0"/>
        <item t="default"/>
      </items>
    </pivotField>
    <pivotField axis="axisRow" showAll="0">
      <items count="12">
        <item x="6"/>
        <item x="9"/>
        <item x="0"/>
        <item x="4"/>
        <item x="8"/>
        <item x="7"/>
        <item x="2"/>
        <item x="3"/>
        <item x="1"/>
        <item x="5"/>
        <item x="10"/>
        <item t="default"/>
      </items>
    </pivotField>
    <pivotField showAll="0"/>
    <pivotField dataField="1" showAll="0"/>
    <pivotField showAll="0"/>
  </pivotFields>
  <rowFields count="1">
    <field x="7"/>
  </rowFields>
  <rowItems count="12">
    <i>
      <x/>
    </i>
    <i>
      <x v="1"/>
    </i>
    <i>
      <x v="2"/>
    </i>
    <i>
      <x v="3"/>
    </i>
    <i>
      <x v="4"/>
    </i>
    <i>
      <x v="5"/>
    </i>
    <i>
      <x v="6"/>
    </i>
    <i>
      <x v="7"/>
    </i>
    <i>
      <x v="8"/>
    </i>
    <i>
      <x v="9"/>
    </i>
    <i>
      <x v="10"/>
    </i>
    <i t="grand">
      <x/>
    </i>
  </rowItems>
  <colItems count="1">
    <i/>
  </colItems>
  <dataFields count="1">
    <dataField name="Sum of Unit Price" fld="9" baseField="0" baseItem="0"/>
  </dataFields>
  <chartFormats count="3">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518213-5DE0-49D5-8DD5-33D6D3638B7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3:G15" firstHeaderRow="1" firstDataRow="1" firstDataCol="1"/>
  <pivotFields count="11">
    <pivotField showAll="0"/>
    <pivotField showAll="0">
      <items count="181">
        <item x="135"/>
        <item x="150"/>
        <item x="53"/>
        <item x="43"/>
        <item x="55"/>
        <item x="120"/>
        <item x="71"/>
        <item x="79"/>
        <item x="26"/>
        <item x="127"/>
        <item x="169"/>
        <item x="156"/>
        <item x="176"/>
        <item x="110"/>
        <item x="1"/>
        <item x="164"/>
        <item x="0"/>
        <item x="82"/>
        <item x="68"/>
        <item x="144"/>
        <item x="61"/>
        <item x="108"/>
        <item x="17"/>
        <item x="157"/>
        <item x="52"/>
        <item x="16"/>
        <item x="147"/>
        <item x="94"/>
        <item x="145"/>
        <item x="66"/>
        <item x="167"/>
        <item x="20"/>
        <item x="129"/>
        <item x="105"/>
        <item x="50"/>
        <item x="103"/>
        <item x="15"/>
        <item x="139"/>
        <item x="5"/>
        <item x="38"/>
        <item x="73"/>
        <item x="87"/>
        <item x="137"/>
        <item x="24"/>
        <item x="143"/>
        <item x="76"/>
        <item x="114"/>
        <item x="85"/>
        <item x="146"/>
        <item x="93"/>
        <item x="163"/>
        <item x="109"/>
        <item x="6"/>
        <item x="78"/>
        <item x="152"/>
        <item x="116"/>
        <item x="172"/>
        <item x="31"/>
        <item x="11"/>
        <item x="136"/>
        <item x="37"/>
        <item x="98"/>
        <item x="46"/>
        <item x="36"/>
        <item x="118"/>
        <item x="54"/>
        <item x="166"/>
        <item x="160"/>
        <item x="25"/>
        <item x="22"/>
        <item x="44"/>
        <item x="45"/>
        <item x="112"/>
        <item x="51"/>
        <item x="178"/>
        <item x="34"/>
        <item x="27"/>
        <item x="64"/>
        <item x="32"/>
        <item x="23"/>
        <item x="132"/>
        <item x="149"/>
        <item x="162"/>
        <item x="100"/>
        <item x="158"/>
        <item x="125"/>
        <item x="42"/>
        <item x="123"/>
        <item x="2"/>
        <item x="63"/>
        <item x="175"/>
        <item x="10"/>
        <item x="4"/>
        <item x="9"/>
        <item x="88"/>
        <item x="104"/>
        <item x="8"/>
        <item x="33"/>
        <item x="140"/>
        <item x="141"/>
        <item x="124"/>
        <item x="174"/>
        <item x="28"/>
        <item x="69"/>
        <item x="58"/>
        <item x="80"/>
        <item x="131"/>
        <item x="96"/>
        <item x="77"/>
        <item x="134"/>
        <item x="133"/>
        <item x="168"/>
        <item x="48"/>
        <item x="148"/>
        <item x="67"/>
        <item x="121"/>
        <item x="74"/>
        <item x="19"/>
        <item x="81"/>
        <item x="130"/>
        <item x="72"/>
        <item x="65"/>
        <item x="179"/>
        <item x="126"/>
        <item x="59"/>
        <item x="21"/>
        <item x="117"/>
        <item x="35"/>
        <item x="138"/>
        <item x="170"/>
        <item x="62"/>
        <item x="92"/>
        <item x="60"/>
        <item x="90"/>
        <item x="151"/>
        <item x="107"/>
        <item x="155"/>
        <item x="128"/>
        <item x="177"/>
        <item x="89"/>
        <item x="115"/>
        <item x="41"/>
        <item x="113"/>
        <item x="161"/>
        <item x="29"/>
        <item x="84"/>
        <item x="171"/>
        <item x="14"/>
        <item x="49"/>
        <item x="142"/>
        <item x="7"/>
        <item x="86"/>
        <item x="122"/>
        <item x="119"/>
        <item x="97"/>
        <item x="83"/>
        <item x="101"/>
        <item x="95"/>
        <item x="99"/>
        <item x="153"/>
        <item x="106"/>
        <item x="13"/>
        <item x="111"/>
        <item x="3"/>
        <item x="75"/>
        <item x="173"/>
        <item x="70"/>
        <item x="56"/>
        <item x="12"/>
        <item x="30"/>
        <item x="57"/>
        <item x="154"/>
        <item x="40"/>
        <item x="102"/>
        <item x="39"/>
        <item x="91"/>
        <item x="159"/>
        <item x="165"/>
        <item x="18"/>
        <item x="47"/>
        <item t="default"/>
      </items>
    </pivotField>
    <pivotField showAll="0">
      <items count="564">
        <item x="418"/>
        <item x="15"/>
        <item x="561"/>
        <item x="105"/>
        <item x="305"/>
        <item x="340"/>
        <item x="170"/>
        <item x="474"/>
        <item x="115"/>
        <item x="19"/>
        <item x="235"/>
        <item x="23"/>
        <item x="422"/>
        <item x="69"/>
        <item x="555"/>
        <item x="350"/>
        <item x="197"/>
        <item x="129"/>
        <item x="43"/>
        <item x="332"/>
        <item x="221"/>
        <item x="125"/>
        <item x="306"/>
        <item x="180"/>
        <item x="527"/>
        <item x="155"/>
        <item x="414"/>
        <item x="10"/>
        <item x="462"/>
        <item x="552"/>
        <item x="294"/>
        <item x="503"/>
        <item x="252"/>
        <item x="159"/>
        <item x="495"/>
        <item x="312"/>
        <item x="501"/>
        <item x="553"/>
        <item x="545"/>
        <item x="487"/>
        <item x="310"/>
        <item x="301"/>
        <item x="291"/>
        <item x="137"/>
        <item x="212"/>
        <item x="229"/>
        <item x="429"/>
        <item x="118"/>
        <item x="320"/>
        <item x="318"/>
        <item x="425"/>
        <item x="357"/>
        <item x="239"/>
        <item x="483"/>
        <item x="453"/>
        <item x="139"/>
        <item x="420"/>
        <item x="74"/>
        <item x="516"/>
        <item x="534"/>
        <item x="530"/>
        <item x="448"/>
        <item x="232"/>
        <item x="537"/>
        <item x="211"/>
        <item x="437"/>
        <item x="407"/>
        <item x="151"/>
        <item x="543"/>
        <item x="41"/>
        <item x="175"/>
        <item x="480"/>
        <item x="123"/>
        <item x="494"/>
        <item x="299"/>
        <item x="144"/>
        <item x="188"/>
        <item x="58"/>
        <item x="55"/>
        <item x="65"/>
        <item x="452"/>
        <item x="27"/>
        <item x="436"/>
        <item x="342"/>
        <item x="203"/>
        <item x="141"/>
        <item x="396"/>
        <item x="319"/>
        <item x="147"/>
        <item x="103"/>
        <item x="49"/>
        <item x="131"/>
        <item x="193"/>
        <item x="190"/>
        <item x="428"/>
        <item x="24"/>
        <item x="210"/>
        <item x="108"/>
        <item x="225"/>
        <item x="82"/>
        <item x="469"/>
        <item x="236"/>
        <item x="288"/>
        <item x="377"/>
        <item x="148"/>
        <item x="112"/>
        <item x="316"/>
        <item x="213"/>
        <item x="512"/>
        <item x="401"/>
        <item x="559"/>
        <item x="362"/>
        <item x="451"/>
        <item x="119"/>
        <item x="371"/>
        <item x="258"/>
        <item x="146"/>
        <item x="427"/>
        <item x="410"/>
        <item x="242"/>
        <item x="375"/>
        <item x="404"/>
        <item x="339"/>
        <item x="502"/>
        <item x="34"/>
        <item x="11"/>
        <item x="334"/>
        <item x="12"/>
        <item x="100"/>
        <item x="67"/>
        <item x="233"/>
        <item x="372"/>
        <item x="0"/>
        <item x="78"/>
        <item x="547"/>
        <item x="368"/>
        <item x="475"/>
        <item x="513"/>
        <item x="336"/>
        <item x="32"/>
        <item x="122"/>
        <item x="303"/>
        <item x="412"/>
        <item x="309"/>
        <item x="348"/>
        <item x="333"/>
        <item x="456"/>
        <item x="217"/>
        <item x="80"/>
        <item x="254"/>
        <item x="63"/>
        <item x="26"/>
        <item x="241"/>
        <item x="279"/>
        <item x="153"/>
        <item x="185"/>
        <item x="92"/>
        <item x="140"/>
        <item x="535"/>
        <item x="378"/>
        <item x="460"/>
        <item x="541"/>
        <item x="366"/>
        <item x="511"/>
        <item x="264"/>
        <item x="259"/>
        <item x="142"/>
        <item x="464"/>
        <item x="184"/>
        <item x="351"/>
        <item x="267"/>
        <item x="515"/>
        <item x="476"/>
        <item x="13"/>
        <item x="550"/>
        <item x="323"/>
        <item x="384"/>
        <item x="275"/>
        <item x="56"/>
        <item x="447"/>
        <item x="6"/>
        <item x="214"/>
        <item x="98"/>
        <item x="62"/>
        <item x="285"/>
        <item x="280"/>
        <item x="402"/>
        <item x="222"/>
        <item x="471"/>
        <item x="353"/>
        <item x="47"/>
        <item x="450"/>
        <item x="164"/>
        <item x="521"/>
        <item x="449"/>
        <item x="201"/>
        <item x="482"/>
        <item x="533"/>
        <item x="25"/>
        <item x="383"/>
        <item x="224"/>
        <item x="165"/>
        <item x="71"/>
        <item x="136"/>
        <item x="524"/>
        <item x="431"/>
        <item x="283"/>
        <item x="419"/>
        <item x="426"/>
        <item x="28"/>
        <item x="158"/>
        <item x="243"/>
        <item x="539"/>
        <item x="37"/>
        <item x="356"/>
        <item x="244"/>
        <item x="470"/>
        <item x="461"/>
        <item x="296"/>
        <item x="359"/>
        <item x="260"/>
        <item x="126"/>
        <item x="557"/>
        <item x="128"/>
        <item x="143"/>
        <item x="191"/>
        <item x="132"/>
        <item x="270"/>
        <item x="77"/>
        <item x="179"/>
        <item x="454"/>
        <item x="269"/>
        <item x="562"/>
        <item x="113"/>
        <item x="22"/>
        <item x="35"/>
        <item x="277"/>
        <item x="114"/>
        <item x="435"/>
        <item x="16"/>
        <item x="504"/>
        <item x="394"/>
        <item x="110"/>
        <item x="39"/>
        <item x="265"/>
        <item x="93"/>
        <item x="121"/>
        <item x="124"/>
        <item x="90"/>
        <item x="443"/>
        <item x="240"/>
        <item x="538"/>
        <item x="458"/>
        <item x="556"/>
        <item x="86"/>
        <item x="208"/>
        <item x="152"/>
        <item x="149"/>
        <item x="293"/>
        <item x="554"/>
        <item x="392"/>
        <item x="496"/>
        <item x="177"/>
        <item x="263"/>
        <item x="106"/>
        <item x="520"/>
        <item x="444"/>
        <item x="290"/>
        <item x="374"/>
        <item x="133"/>
        <item x="75"/>
        <item x="246"/>
        <item x="400"/>
        <item x="234"/>
        <item x="64"/>
        <item x="262"/>
        <item x="399"/>
        <item x="523"/>
        <item x="395"/>
        <item x="42"/>
        <item x="95"/>
        <item x="445"/>
        <item x="46"/>
        <item x="302"/>
        <item x="54"/>
        <item x="519"/>
        <item x="417"/>
        <item x="308"/>
        <item x="500"/>
        <item x="528"/>
        <item x="227"/>
        <item x="274"/>
        <item x="514"/>
        <item x="5"/>
        <item x="209"/>
        <item x="430"/>
        <item x="130"/>
        <item x="266"/>
        <item x="508"/>
        <item x="297"/>
        <item x="40"/>
        <item x="248"/>
        <item x="281"/>
        <item x="174"/>
        <item x="327"/>
        <item x="97"/>
        <item x="321"/>
        <item x="182"/>
        <item x="181"/>
        <item x="101"/>
        <item x="409"/>
        <item x="505"/>
        <item x="87"/>
        <item x="497"/>
        <item x="99"/>
        <item x="421"/>
        <item x="52"/>
        <item x="358"/>
        <item x="536"/>
        <item x="85"/>
        <item x="194"/>
        <item x="172"/>
        <item x="393"/>
        <item x="135"/>
        <item x="199"/>
        <item x="406"/>
        <item x="509"/>
        <item x="363"/>
        <item x="61"/>
        <item x="166"/>
        <item x="178"/>
        <item x="30"/>
        <item x="381"/>
        <item x="116"/>
        <item x="204"/>
        <item x="560"/>
        <item x="29"/>
        <item x="45"/>
        <item x="367"/>
        <item x="109"/>
        <item x="2"/>
        <item x="251"/>
        <item x="465"/>
        <item x="84"/>
        <item x="315"/>
        <item x="17"/>
        <item x="79"/>
        <item x="311"/>
        <item x="94"/>
        <item x="127"/>
        <item x="268"/>
        <item x="271"/>
        <item x="478"/>
        <item x="247"/>
        <item x="492"/>
        <item x="70"/>
        <item x="313"/>
        <item x="531"/>
        <item x="44"/>
        <item x="439"/>
        <item x="245"/>
        <item x="66"/>
        <item x="104"/>
        <item x="489"/>
        <item x="83"/>
        <item x="434"/>
        <item x="228"/>
        <item x="53"/>
        <item x="59"/>
        <item x="292"/>
        <item x="220"/>
        <item x="544"/>
        <item x="558"/>
        <item x="295"/>
        <item x="411"/>
        <item x="195"/>
        <item x="517"/>
        <item x="385"/>
        <item x="192"/>
        <item x="36"/>
        <item x="76"/>
        <item x="272"/>
        <item x="522"/>
        <item x="379"/>
        <item x="231"/>
        <item x="442"/>
        <item x="169"/>
        <item x="278"/>
        <item x="33"/>
        <item x="349"/>
        <item x="261"/>
        <item x="8"/>
        <item x="50"/>
        <item x="346"/>
        <item x="18"/>
        <item x="438"/>
        <item x="304"/>
        <item x="257"/>
        <item x="403"/>
        <item x="382"/>
        <item x="549"/>
        <item x="473"/>
        <item x="73"/>
        <item x="183"/>
        <item x="173"/>
        <item x="380"/>
        <item x="408"/>
        <item x="386"/>
        <item x="89"/>
        <item x="286"/>
        <item x="472"/>
        <item x="344"/>
        <item x="387"/>
        <item x="415"/>
        <item x="250"/>
        <item x="526"/>
        <item x="440"/>
        <item x="341"/>
        <item x="7"/>
        <item x="518"/>
        <item x="307"/>
        <item x="176"/>
        <item x="490"/>
        <item x="317"/>
        <item x="551"/>
        <item x="330"/>
        <item x="300"/>
        <item x="337"/>
        <item x="546"/>
        <item x="466"/>
        <item x="331"/>
        <item x="102"/>
        <item x="68"/>
        <item x="57"/>
        <item x="498"/>
        <item x="205"/>
        <item x="1"/>
        <item x="360"/>
        <item x="491"/>
        <item x="328"/>
        <item x="548"/>
        <item x="486"/>
        <item x="31"/>
        <item x="529"/>
        <item x="48"/>
        <item x="256"/>
        <item x="218"/>
        <item x="282"/>
        <item x="506"/>
        <item x="433"/>
        <item x="459"/>
        <item x="390"/>
        <item x="467"/>
        <item x="329"/>
        <item x="163"/>
        <item x="479"/>
        <item x="161"/>
        <item x="352"/>
        <item x="223"/>
        <item x="253"/>
        <item x="347"/>
        <item x="397"/>
        <item x="507"/>
        <item x="167"/>
        <item x="14"/>
        <item x="20"/>
        <item x="9"/>
        <item x="376"/>
        <item x="138"/>
        <item x="532"/>
        <item x="216"/>
        <item x="287"/>
        <item x="423"/>
        <item x="314"/>
        <item x="424"/>
        <item x="354"/>
        <item x="298"/>
        <item x="389"/>
        <item x="325"/>
        <item x="51"/>
        <item x="510"/>
        <item x="338"/>
        <item x="207"/>
        <item x="237"/>
        <item x="276"/>
        <item x="215"/>
        <item x="145"/>
        <item x="202"/>
        <item x="4"/>
        <item x="373"/>
        <item x="345"/>
        <item x="273"/>
        <item x="499"/>
        <item x="468"/>
        <item x="111"/>
        <item x="226"/>
        <item x="484"/>
        <item x="324"/>
        <item x="525"/>
        <item x="238"/>
        <item x="446"/>
        <item x="370"/>
        <item x="391"/>
        <item x="186"/>
        <item x="21"/>
        <item x="413"/>
        <item x="365"/>
        <item x="457"/>
        <item x="189"/>
        <item x="284"/>
        <item x="117"/>
        <item x="91"/>
        <item x="441"/>
        <item x="160"/>
        <item x="485"/>
        <item x="72"/>
        <item x="219"/>
        <item x="96"/>
        <item x="463"/>
        <item x="405"/>
        <item x="455"/>
        <item x="477"/>
        <item x="162"/>
        <item x="481"/>
        <item x="398"/>
        <item x="540"/>
        <item x="200"/>
        <item x="230"/>
        <item x="157"/>
        <item x="488"/>
        <item x="355"/>
        <item x="120"/>
        <item x="88"/>
        <item x="196"/>
        <item x="249"/>
        <item x="81"/>
        <item x="154"/>
        <item x="289"/>
        <item x="361"/>
        <item x="107"/>
        <item x="343"/>
        <item x="326"/>
        <item x="198"/>
        <item x="206"/>
        <item x="156"/>
        <item x="542"/>
        <item x="388"/>
        <item x="187"/>
        <item x="335"/>
        <item x="168"/>
        <item x="60"/>
        <item x="171"/>
        <item x="150"/>
        <item x="369"/>
        <item x="322"/>
        <item x="134"/>
        <item x="364"/>
        <item x="416"/>
        <item x="432"/>
        <item x="255"/>
        <item x="493"/>
        <item x="38"/>
        <item x="3"/>
        <item t="default"/>
      </items>
    </pivotField>
    <pivotField showAll="0">
      <items count="7">
        <item x="0"/>
        <item x="4"/>
        <item x="1"/>
        <item x="3"/>
        <item x="5"/>
        <item x="2"/>
        <item t="default"/>
      </items>
    </pivotField>
    <pivotField showAll="0"/>
    <pivotField showAll="0">
      <items count="4">
        <item x="2"/>
        <item x="0"/>
        <item x="1"/>
        <item t="default"/>
      </items>
    </pivotField>
    <pivotField showAll="0"/>
    <pivotField axis="axisRow" showAll="0">
      <items count="12">
        <item x="6"/>
        <item x="9"/>
        <item x="0"/>
        <item x="4"/>
        <item x="8"/>
        <item x="7"/>
        <item x="2"/>
        <item x="3"/>
        <item x="1"/>
        <item x="5"/>
        <item x="10"/>
        <item t="default"/>
      </items>
    </pivotField>
    <pivotField dataField="1" showAll="0"/>
    <pivotField showAll="0"/>
    <pivotField showAll="0"/>
  </pivotFields>
  <rowFields count="1">
    <field x="7"/>
  </rowFields>
  <rowItems count="12">
    <i>
      <x/>
    </i>
    <i>
      <x v="1"/>
    </i>
    <i>
      <x v="2"/>
    </i>
    <i>
      <x v="3"/>
    </i>
    <i>
      <x v="4"/>
    </i>
    <i>
      <x v="5"/>
    </i>
    <i>
      <x v="6"/>
    </i>
    <i>
      <x v="7"/>
    </i>
    <i>
      <x v="8"/>
    </i>
    <i>
      <x v="9"/>
    </i>
    <i>
      <x v="10"/>
    </i>
    <i t="grand">
      <x/>
    </i>
  </rowItems>
  <colItems count="1">
    <i/>
  </colItems>
  <dataFields count="1">
    <dataField name="Sum of Quantity"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6E3623-CF3E-472B-B2EB-DD8D643565C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M17:O22" firstHeaderRow="0" firstDataRow="1" firstDataCol="1"/>
  <pivotFields count="11">
    <pivotField showAll="0"/>
    <pivotField showAll="0">
      <items count="181">
        <item x="135"/>
        <item x="150"/>
        <item x="53"/>
        <item x="43"/>
        <item x="55"/>
        <item x="120"/>
        <item x="71"/>
        <item x="79"/>
        <item x="26"/>
        <item x="127"/>
        <item x="169"/>
        <item x="156"/>
        <item x="176"/>
        <item x="110"/>
        <item x="1"/>
        <item x="164"/>
        <item x="0"/>
        <item x="82"/>
        <item x="68"/>
        <item x="144"/>
        <item x="61"/>
        <item x="108"/>
        <item x="17"/>
        <item x="157"/>
        <item x="52"/>
        <item x="16"/>
        <item x="147"/>
        <item x="94"/>
        <item x="145"/>
        <item x="66"/>
        <item x="167"/>
        <item x="20"/>
        <item x="129"/>
        <item x="105"/>
        <item x="50"/>
        <item x="103"/>
        <item x="15"/>
        <item x="139"/>
        <item x="5"/>
        <item x="38"/>
        <item x="73"/>
        <item x="87"/>
        <item x="137"/>
        <item x="24"/>
        <item x="143"/>
        <item x="76"/>
        <item x="114"/>
        <item x="85"/>
        <item x="146"/>
        <item x="93"/>
        <item x="163"/>
        <item x="109"/>
        <item x="6"/>
        <item x="78"/>
        <item x="152"/>
        <item x="116"/>
        <item x="172"/>
        <item x="31"/>
        <item x="11"/>
        <item x="136"/>
        <item x="37"/>
        <item x="98"/>
        <item x="46"/>
        <item x="36"/>
        <item x="118"/>
        <item x="54"/>
        <item x="166"/>
        <item x="160"/>
        <item x="25"/>
        <item x="22"/>
        <item x="44"/>
        <item x="45"/>
        <item x="112"/>
        <item x="51"/>
        <item x="178"/>
        <item x="34"/>
        <item x="27"/>
        <item x="64"/>
        <item x="32"/>
        <item x="23"/>
        <item x="132"/>
        <item x="149"/>
        <item x="162"/>
        <item x="100"/>
        <item x="158"/>
        <item x="125"/>
        <item x="42"/>
        <item x="123"/>
        <item x="2"/>
        <item x="63"/>
        <item x="175"/>
        <item x="10"/>
        <item x="4"/>
        <item x="9"/>
        <item x="88"/>
        <item x="104"/>
        <item x="8"/>
        <item x="33"/>
        <item x="140"/>
        <item x="141"/>
        <item x="124"/>
        <item x="174"/>
        <item x="28"/>
        <item x="69"/>
        <item x="58"/>
        <item x="80"/>
        <item x="131"/>
        <item x="96"/>
        <item x="77"/>
        <item x="134"/>
        <item x="133"/>
        <item x="168"/>
        <item x="48"/>
        <item x="148"/>
        <item x="67"/>
        <item x="121"/>
        <item x="74"/>
        <item x="19"/>
        <item x="81"/>
        <item x="130"/>
        <item x="72"/>
        <item x="65"/>
        <item x="179"/>
        <item x="126"/>
        <item x="59"/>
        <item x="21"/>
        <item x="117"/>
        <item x="35"/>
        <item x="138"/>
        <item x="170"/>
        <item x="62"/>
        <item x="92"/>
        <item x="60"/>
        <item x="90"/>
        <item x="151"/>
        <item x="107"/>
        <item x="155"/>
        <item x="128"/>
        <item x="177"/>
        <item x="89"/>
        <item x="115"/>
        <item x="41"/>
        <item x="113"/>
        <item x="161"/>
        <item x="29"/>
        <item x="84"/>
        <item x="171"/>
        <item x="14"/>
        <item x="49"/>
        <item x="142"/>
        <item x="7"/>
        <item x="86"/>
        <item x="122"/>
        <item x="119"/>
        <item x="97"/>
        <item x="83"/>
        <item x="101"/>
        <item x="95"/>
        <item x="99"/>
        <item x="153"/>
        <item x="106"/>
        <item x="13"/>
        <item x="111"/>
        <item x="3"/>
        <item x="75"/>
        <item x="173"/>
        <item x="70"/>
        <item x="56"/>
        <item x="12"/>
        <item x="30"/>
        <item x="57"/>
        <item x="154"/>
        <item x="40"/>
        <item x="102"/>
        <item x="39"/>
        <item x="91"/>
        <item x="159"/>
        <item x="165"/>
        <item x="18"/>
        <item x="47"/>
        <item t="default"/>
      </items>
    </pivotField>
    <pivotField showAll="0">
      <items count="564">
        <item x="418"/>
        <item x="15"/>
        <item x="561"/>
        <item x="105"/>
        <item x="305"/>
        <item x="340"/>
        <item x="170"/>
        <item x="474"/>
        <item x="115"/>
        <item x="19"/>
        <item x="235"/>
        <item x="23"/>
        <item x="422"/>
        <item x="69"/>
        <item x="555"/>
        <item x="350"/>
        <item x="197"/>
        <item x="129"/>
        <item x="43"/>
        <item x="332"/>
        <item x="221"/>
        <item x="125"/>
        <item x="306"/>
        <item x="180"/>
        <item x="527"/>
        <item x="155"/>
        <item x="414"/>
        <item x="10"/>
        <item x="462"/>
        <item x="552"/>
        <item x="294"/>
        <item x="503"/>
        <item x="252"/>
        <item x="159"/>
        <item x="495"/>
        <item x="312"/>
        <item x="501"/>
        <item x="553"/>
        <item x="545"/>
        <item x="487"/>
        <item x="310"/>
        <item x="301"/>
        <item x="291"/>
        <item x="137"/>
        <item x="212"/>
        <item x="229"/>
        <item x="429"/>
        <item x="118"/>
        <item x="320"/>
        <item x="318"/>
        <item x="425"/>
        <item x="357"/>
        <item x="239"/>
        <item x="483"/>
        <item x="453"/>
        <item x="139"/>
        <item x="420"/>
        <item x="74"/>
        <item x="516"/>
        <item x="534"/>
        <item x="530"/>
        <item x="448"/>
        <item x="232"/>
        <item x="537"/>
        <item x="211"/>
        <item x="437"/>
        <item x="407"/>
        <item x="151"/>
        <item x="543"/>
        <item x="41"/>
        <item x="175"/>
        <item x="480"/>
        <item x="123"/>
        <item x="494"/>
        <item x="299"/>
        <item x="144"/>
        <item x="188"/>
        <item x="58"/>
        <item x="55"/>
        <item x="65"/>
        <item x="452"/>
        <item x="27"/>
        <item x="436"/>
        <item x="342"/>
        <item x="203"/>
        <item x="141"/>
        <item x="396"/>
        <item x="319"/>
        <item x="147"/>
        <item x="103"/>
        <item x="49"/>
        <item x="131"/>
        <item x="193"/>
        <item x="190"/>
        <item x="428"/>
        <item x="24"/>
        <item x="210"/>
        <item x="108"/>
        <item x="225"/>
        <item x="82"/>
        <item x="469"/>
        <item x="236"/>
        <item x="288"/>
        <item x="377"/>
        <item x="148"/>
        <item x="112"/>
        <item x="316"/>
        <item x="213"/>
        <item x="512"/>
        <item x="401"/>
        <item x="559"/>
        <item x="362"/>
        <item x="451"/>
        <item x="119"/>
        <item x="371"/>
        <item x="258"/>
        <item x="146"/>
        <item x="427"/>
        <item x="410"/>
        <item x="242"/>
        <item x="375"/>
        <item x="404"/>
        <item x="339"/>
        <item x="502"/>
        <item x="34"/>
        <item x="11"/>
        <item x="334"/>
        <item x="12"/>
        <item x="100"/>
        <item x="67"/>
        <item x="233"/>
        <item x="372"/>
        <item x="0"/>
        <item x="78"/>
        <item x="547"/>
        <item x="368"/>
        <item x="475"/>
        <item x="513"/>
        <item x="336"/>
        <item x="32"/>
        <item x="122"/>
        <item x="303"/>
        <item x="412"/>
        <item x="309"/>
        <item x="348"/>
        <item x="333"/>
        <item x="456"/>
        <item x="217"/>
        <item x="80"/>
        <item x="254"/>
        <item x="63"/>
        <item x="26"/>
        <item x="241"/>
        <item x="279"/>
        <item x="153"/>
        <item x="185"/>
        <item x="92"/>
        <item x="140"/>
        <item x="535"/>
        <item x="378"/>
        <item x="460"/>
        <item x="541"/>
        <item x="366"/>
        <item x="511"/>
        <item x="264"/>
        <item x="259"/>
        <item x="142"/>
        <item x="464"/>
        <item x="184"/>
        <item x="351"/>
        <item x="267"/>
        <item x="515"/>
        <item x="476"/>
        <item x="13"/>
        <item x="550"/>
        <item x="323"/>
        <item x="384"/>
        <item x="275"/>
        <item x="56"/>
        <item x="447"/>
        <item x="6"/>
        <item x="214"/>
        <item x="98"/>
        <item x="62"/>
        <item x="285"/>
        <item x="280"/>
        <item x="402"/>
        <item x="222"/>
        <item x="471"/>
        <item x="353"/>
        <item x="47"/>
        <item x="450"/>
        <item x="164"/>
        <item x="521"/>
        <item x="449"/>
        <item x="201"/>
        <item x="482"/>
        <item x="533"/>
        <item x="25"/>
        <item x="383"/>
        <item x="224"/>
        <item x="165"/>
        <item x="71"/>
        <item x="136"/>
        <item x="524"/>
        <item x="431"/>
        <item x="283"/>
        <item x="419"/>
        <item x="426"/>
        <item x="28"/>
        <item x="158"/>
        <item x="243"/>
        <item x="539"/>
        <item x="37"/>
        <item x="356"/>
        <item x="244"/>
        <item x="470"/>
        <item x="461"/>
        <item x="296"/>
        <item x="359"/>
        <item x="260"/>
        <item x="126"/>
        <item x="557"/>
        <item x="128"/>
        <item x="143"/>
        <item x="191"/>
        <item x="132"/>
        <item x="270"/>
        <item x="77"/>
        <item x="179"/>
        <item x="454"/>
        <item x="269"/>
        <item x="562"/>
        <item x="113"/>
        <item x="22"/>
        <item x="35"/>
        <item x="277"/>
        <item x="114"/>
        <item x="435"/>
        <item x="16"/>
        <item x="504"/>
        <item x="394"/>
        <item x="110"/>
        <item x="39"/>
        <item x="265"/>
        <item x="93"/>
        <item x="121"/>
        <item x="124"/>
        <item x="90"/>
        <item x="443"/>
        <item x="240"/>
        <item x="538"/>
        <item x="458"/>
        <item x="556"/>
        <item x="86"/>
        <item x="208"/>
        <item x="152"/>
        <item x="149"/>
        <item x="293"/>
        <item x="554"/>
        <item x="392"/>
        <item x="496"/>
        <item x="177"/>
        <item x="263"/>
        <item x="106"/>
        <item x="520"/>
        <item x="444"/>
        <item x="290"/>
        <item x="374"/>
        <item x="133"/>
        <item x="75"/>
        <item x="246"/>
        <item x="400"/>
        <item x="234"/>
        <item x="64"/>
        <item x="262"/>
        <item x="399"/>
        <item x="523"/>
        <item x="395"/>
        <item x="42"/>
        <item x="95"/>
        <item x="445"/>
        <item x="46"/>
        <item x="302"/>
        <item x="54"/>
        <item x="519"/>
        <item x="417"/>
        <item x="308"/>
        <item x="500"/>
        <item x="528"/>
        <item x="227"/>
        <item x="274"/>
        <item x="514"/>
        <item x="5"/>
        <item x="209"/>
        <item x="430"/>
        <item x="130"/>
        <item x="266"/>
        <item x="508"/>
        <item x="297"/>
        <item x="40"/>
        <item x="248"/>
        <item x="281"/>
        <item x="174"/>
        <item x="327"/>
        <item x="97"/>
        <item x="321"/>
        <item x="182"/>
        <item x="181"/>
        <item x="101"/>
        <item x="409"/>
        <item x="505"/>
        <item x="87"/>
        <item x="497"/>
        <item x="99"/>
        <item x="421"/>
        <item x="52"/>
        <item x="358"/>
        <item x="536"/>
        <item x="85"/>
        <item x="194"/>
        <item x="172"/>
        <item x="393"/>
        <item x="135"/>
        <item x="199"/>
        <item x="406"/>
        <item x="509"/>
        <item x="363"/>
        <item x="61"/>
        <item x="166"/>
        <item x="178"/>
        <item x="30"/>
        <item x="381"/>
        <item x="116"/>
        <item x="204"/>
        <item x="560"/>
        <item x="29"/>
        <item x="45"/>
        <item x="367"/>
        <item x="109"/>
        <item x="2"/>
        <item x="251"/>
        <item x="465"/>
        <item x="84"/>
        <item x="315"/>
        <item x="17"/>
        <item x="79"/>
        <item x="311"/>
        <item x="94"/>
        <item x="127"/>
        <item x="268"/>
        <item x="271"/>
        <item x="478"/>
        <item x="247"/>
        <item x="492"/>
        <item x="70"/>
        <item x="313"/>
        <item x="531"/>
        <item x="44"/>
        <item x="439"/>
        <item x="245"/>
        <item x="66"/>
        <item x="104"/>
        <item x="489"/>
        <item x="83"/>
        <item x="434"/>
        <item x="228"/>
        <item x="53"/>
        <item x="59"/>
        <item x="292"/>
        <item x="220"/>
        <item x="544"/>
        <item x="558"/>
        <item x="295"/>
        <item x="411"/>
        <item x="195"/>
        <item x="517"/>
        <item x="385"/>
        <item x="192"/>
        <item x="36"/>
        <item x="76"/>
        <item x="272"/>
        <item x="522"/>
        <item x="379"/>
        <item x="231"/>
        <item x="442"/>
        <item x="169"/>
        <item x="278"/>
        <item x="33"/>
        <item x="349"/>
        <item x="261"/>
        <item x="8"/>
        <item x="50"/>
        <item x="346"/>
        <item x="18"/>
        <item x="438"/>
        <item x="304"/>
        <item x="257"/>
        <item x="403"/>
        <item x="382"/>
        <item x="549"/>
        <item x="473"/>
        <item x="73"/>
        <item x="183"/>
        <item x="173"/>
        <item x="380"/>
        <item x="408"/>
        <item x="386"/>
        <item x="89"/>
        <item x="286"/>
        <item x="472"/>
        <item x="344"/>
        <item x="387"/>
        <item x="415"/>
        <item x="250"/>
        <item x="526"/>
        <item x="440"/>
        <item x="341"/>
        <item x="7"/>
        <item x="518"/>
        <item x="307"/>
        <item x="176"/>
        <item x="490"/>
        <item x="317"/>
        <item x="551"/>
        <item x="330"/>
        <item x="300"/>
        <item x="337"/>
        <item x="546"/>
        <item x="466"/>
        <item x="331"/>
        <item x="102"/>
        <item x="68"/>
        <item x="57"/>
        <item x="498"/>
        <item x="205"/>
        <item x="1"/>
        <item x="360"/>
        <item x="491"/>
        <item x="328"/>
        <item x="548"/>
        <item x="486"/>
        <item x="31"/>
        <item x="529"/>
        <item x="48"/>
        <item x="256"/>
        <item x="218"/>
        <item x="282"/>
        <item x="506"/>
        <item x="433"/>
        <item x="459"/>
        <item x="390"/>
        <item x="467"/>
        <item x="329"/>
        <item x="163"/>
        <item x="479"/>
        <item x="161"/>
        <item x="352"/>
        <item x="223"/>
        <item x="253"/>
        <item x="347"/>
        <item x="397"/>
        <item x="507"/>
        <item x="167"/>
        <item x="14"/>
        <item x="20"/>
        <item x="9"/>
        <item x="376"/>
        <item x="138"/>
        <item x="532"/>
        <item x="216"/>
        <item x="287"/>
        <item x="423"/>
        <item x="314"/>
        <item x="424"/>
        <item x="354"/>
        <item x="298"/>
        <item x="389"/>
        <item x="325"/>
        <item x="51"/>
        <item x="510"/>
        <item x="338"/>
        <item x="207"/>
        <item x="237"/>
        <item x="276"/>
        <item x="215"/>
        <item x="145"/>
        <item x="202"/>
        <item x="4"/>
        <item x="373"/>
        <item x="345"/>
        <item x="273"/>
        <item x="499"/>
        <item x="468"/>
        <item x="111"/>
        <item x="226"/>
        <item x="484"/>
        <item x="324"/>
        <item x="525"/>
        <item x="238"/>
        <item x="446"/>
        <item x="370"/>
        <item x="391"/>
        <item x="186"/>
        <item x="21"/>
        <item x="413"/>
        <item x="365"/>
        <item x="457"/>
        <item x="189"/>
        <item x="284"/>
        <item x="117"/>
        <item x="91"/>
        <item x="441"/>
        <item x="160"/>
        <item x="485"/>
        <item x="72"/>
        <item x="219"/>
        <item x="96"/>
        <item x="463"/>
        <item x="405"/>
        <item x="455"/>
        <item x="477"/>
        <item x="162"/>
        <item x="481"/>
        <item x="398"/>
        <item x="540"/>
        <item x="200"/>
        <item x="230"/>
        <item x="157"/>
        <item x="488"/>
        <item x="355"/>
        <item x="120"/>
        <item x="88"/>
        <item x="196"/>
        <item x="249"/>
        <item x="81"/>
        <item x="154"/>
        <item x="289"/>
        <item x="361"/>
        <item x="107"/>
        <item x="343"/>
        <item x="326"/>
        <item x="198"/>
        <item x="206"/>
        <item x="156"/>
        <item x="542"/>
        <item x="388"/>
        <item x="187"/>
        <item x="335"/>
        <item x="168"/>
        <item x="60"/>
        <item x="171"/>
        <item x="150"/>
        <item x="369"/>
        <item x="322"/>
        <item x="134"/>
        <item x="364"/>
        <item x="416"/>
        <item x="432"/>
        <item x="255"/>
        <item x="493"/>
        <item x="38"/>
        <item x="3"/>
        <item t="default"/>
      </items>
    </pivotField>
    <pivotField showAll="0">
      <items count="7">
        <item x="0"/>
        <item x="4"/>
        <item x="1"/>
        <item x="3"/>
        <item x="5"/>
        <item x="2"/>
        <item t="default"/>
      </items>
    </pivotField>
    <pivotField showAll="0"/>
    <pivotField showAll="0">
      <items count="4">
        <item x="2"/>
        <item x="0"/>
        <item x="1"/>
        <item t="default"/>
      </items>
    </pivotField>
    <pivotField axis="axisRow" showAll="0">
      <items count="5">
        <item x="3"/>
        <item x="2"/>
        <item x="1"/>
        <item x="0"/>
        <item t="default"/>
      </items>
    </pivotField>
    <pivotField showAll="0">
      <items count="12">
        <item x="6"/>
        <item x="9"/>
        <item x="0"/>
        <item x="4"/>
        <item x="8"/>
        <item x="7"/>
        <item x="2"/>
        <item x="3"/>
        <item x="1"/>
        <item x="5"/>
        <item x="10"/>
        <item t="default"/>
      </items>
    </pivotField>
    <pivotField dataField="1" showAll="0"/>
    <pivotField showAll="0"/>
    <pivotField dataField="1" showAll="0"/>
  </pivotFields>
  <rowFields count="1">
    <field x="6"/>
  </rowFields>
  <rowItems count="5">
    <i>
      <x/>
    </i>
    <i>
      <x v="1"/>
    </i>
    <i>
      <x v="2"/>
    </i>
    <i>
      <x v="3"/>
    </i>
    <i t="grand">
      <x/>
    </i>
  </rowItems>
  <colFields count="1">
    <field x="-2"/>
  </colFields>
  <colItems count="2">
    <i>
      <x/>
    </i>
    <i i="1">
      <x v="1"/>
    </i>
  </colItems>
  <dataFields count="2">
    <dataField name="Sum of Quantity" fld="8" baseField="0" baseItem="0"/>
    <dataField name="Sum of Total Sales" fld="10" baseField="0" baseItem="0"/>
  </dataFields>
  <chartFormats count="20">
    <chartFormat chart="15" format="1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5" format="12"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1"/>
          </reference>
        </references>
      </pivotArea>
    </chartFormat>
    <chartFormat chart="15" format="13">
      <pivotArea type="data" outline="0" fieldPosition="0">
        <references count="2">
          <reference field="4294967294" count="1" selected="0">
            <x v="0"/>
          </reference>
          <reference field="6" count="1" selected="0">
            <x v="1"/>
          </reference>
        </references>
      </pivotArea>
    </chartFormat>
    <chartFormat chart="15" format="14">
      <pivotArea type="data" outline="0" fieldPosition="0">
        <references count="2">
          <reference field="4294967294" count="1" selected="0">
            <x v="0"/>
          </reference>
          <reference field="6" count="1" selected="0">
            <x v="0"/>
          </reference>
        </references>
      </pivotArea>
    </chartFormat>
    <chartFormat chart="15" format="15">
      <pivotArea type="data" outline="0" fieldPosition="0">
        <references count="2">
          <reference field="4294967294" count="1" selected="0">
            <x v="0"/>
          </reference>
          <reference field="6" count="1" selected="0">
            <x v="3"/>
          </reference>
        </references>
      </pivotArea>
    </chartFormat>
    <chartFormat chart="15" format="16">
      <pivotArea type="data" outline="0" fieldPosition="0">
        <references count="2">
          <reference field="4294967294" count="1" selected="0">
            <x v="0"/>
          </reference>
          <reference field="6" count="1" selected="0">
            <x v="2"/>
          </reference>
        </references>
      </pivotArea>
    </chartFormat>
    <chartFormat chart="15" format="17">
      <pivotArea type="data" outline="0" fieldPosition="0">
        <references count="2">
          <reference field="4294967294" count="1" selected="0">
            <x v="1"/>
          </reference>
          <reference field="6" count="1" selected="0">
            <x v="0"/>
          </reference>
        </references>
      </pivotArea>
    </chartFormat>
    <chartFormat chart="15" format="18">
      <pivotArea type="data" outline="0" fieldPosition="0">
        <references count="2">
          <reference field="4294967294" count="1" selected="0">
            <x v="1"/>
          </reference>
          <reference field="6" count="1" selected="0">
            <x v="1"/>
          </reference>
        </references>
      </pivotArea>
    </chartFormat>
    <chartFormat chart="15" format="19">
      <pivotArea type="data" outline="0" fieldPosition="0">
        <references count="2">
          <reference field="4294967294" count="1" selected="0">
            <x v="1"/>
          </reference>
          <reference field="6" count="1" selected="0">
            <x v="2"/>
          </reference>
        </references>
      </pivotArea>
    </chartFormat>
    <chartFormat chart="15" format="20">
      <pivotArea type="data" outline="0" fieldPosition="0">
        <references count="2">
          <reference field="4294967294" count="1" selected="0">
            <x v="1"/>
          </reference>
          <reference field="6" count="1" selected="0">
            <x v="3"/>
          </reference>
        </references>
      </pivotArea>
    </chartFormat>
    <chartFormat chart="13" format="3">
      <pivotArea type="data" outline="0" fieldPosition="0">
        <references count="2">
          <reference field="4294967294" count="1" selected="0">
            <x v="0"/>
          </reference>
          <reference field="6" count="1" selected="0">
            <x v="0"/>
          </reference>
        </references>
      </pivotArea>
    </chartFormat>
    <chartFormat chart="13" format="4">
      <pivotArea type="data" outline="0" fieldPosition="0">
        <references count="2">
          <reference field="4294967294" count="1" selected="0">
            <x v="0"/>
          </reference>
          <reference field="6" count="1" selected="0">
            <x v="1"/>
          </reference>
        </references>
      </pivotArea>
    </chartFormat>
    <chartFormat chart="13" format="5">
      <pivotArea type="data" outline="0" fieldPosition="0">
        <references count="2">
          <reference field="4294967294" count="1" selected="0">
            <x v="0"/>
          </reference>
          <reference field="6" count="1" selected="0">
            <x v="2"/>
          </reference>
        </references>
      </pivotArea>
    </chartFormat>
    <chartFormat chart="13" format="6">
      <pivotArea type="data" outline="0" fieldPosition="0">
        <references count="2">
          <reference field="4294967294" count="1" selected="0">
            <x v="0"/>
          </reference>
          <reference field="6" count="1" selected="0">
            <x v="3"/>
          </reference>
        </references>
      </pivotArea>
    </chartFormat>
    <chartFormat chart="13" format="7">
      <pivotArea type="data" outline="0" fieldPosition="0">
        <references count="2">
          <reference field="4294967294" count="1" selected="0">
            <x v="1"/>
          </reference>
          <reference field="6" count="1" selected="0">
            <x v="0"/>
          </reference>
        </references>
      </pivotArea>
    </chartFormat>
    <chartFormat chart="13" format="8">
      <pivotArea type="data" outline="0" fieldPosition="0">
        <references count="2">
          <reference field="4294967294" count="1" selected="0">
            <x v="1"/>
          </reference>
          <reference field="6" count="1" selected="0">
            <x v="1"/>
          </reference>
        </references>
      </pivotArea>
    </chartFormat>
    <chartFormat chart="13" format="9">
      <pivotArea type="data" outline="0" fieldPosition="0">
        <references count="2">
          <reference field="4294967294" count="1" selected="0">
            <x v="1"/>
          </reference>
          <reference field="6" count="1" selected="0">
            <x v="2"/>
          </reference>
        </references>
      </pivotArea>
    </chartFormat>
    <chartFormat chart="13" format="10">
      <pivotArea type="data" outline="0" fieldPosition="0">
        <references count="2">
          <reference field="4294967294" count="1" selected="0">
            <x v="1"/>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FAB80E-F493-4CD6-A257-A4F07F0BEA4D}"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P25:Q37" firstHeaderRow="1" firstDataRow="1" firstDataCol="1"/>
  <pivotFields count="11">
    <pivotField showAll="0"/>
    <pivotField showAll="0">
      <items count="181">
        <item x="135"/>
        <item x="150"/>
        <item x="53"/>
        <item x="43"/>
        <item x="55"/>
        <item x="120"/>
        <item x="71"/>
        <item x="79"/>
        <item x="26"/>
        <item x="127"/>
        <item x="169"/>
        <item x="156"/>
        <item x="176"/>
        <item x="110"/>
        <item x="1"/>
        <item x="164"/>
        <item x="0"/>
        <item x="82"/>
        <item x="68"/>
        <item x="144"/>
        <item x="61"/>
        <item x="108"/>
        <item x="17"/>
        <item x="157"/>
        <item x="52"/>
        <item x="16"/>
        <item x="147"/>
        <item x="94"/>
        <item x="145"/>
        <item x="66"/>
        <item x="167"/>
        <item x="20"/>
        <item x="129"/>
        <item x="105"/>
        <item x="50"/>
        <item x="103"/>
        <item x="15"/>
        <item x="139"/>
        <item x="5"/>
        <item x="38"/>
        <item x="73"/>
        <item x="87"/>
        <item x="137"/>
        <item x="24"/>
        <item x="143"/>
        <item x="76"/>
        <item x="114"/>
        <item x="85"/>
        <item x="146"/>
        <item x="93"/>
        <item x="163"/>
        <item x="109"/>
        <item x="6"/>
        <item x="78"/>
        <item x="152"/>
        <item x="116"/>
        <item x="172"/>
        <item x="31"/>
        <item x="11"/>
        <item x="136"/>
        <item x="37"/>
        <item x="98"/>
        <item x="46"/>
        <item x="36"/>
        <item x="118"/>
        <item x="54"/>
        <item x="166"/>
        <item x="160"/>
        <item x="25"/>
        <item x="22"/>
        <item x="44"/>
        <item x="45"/>
        <item x="112"/>
        <item x="51"/>
        <item x="178"/>
        <item x="34"/>
        <item x="27"/>
        <item x="64"/>
        <item x="32"/>
        <item x="23"/>
        <item x="132"/>
        <item x="149"/>
        <item x="162"/>
        <item x="100"/>
        <item x="158"/>
        <item x="125"/>
        <item x="42"/>
        <item x="123"/>
        <item x="2"/>
        <item x="63"/>
        <item x="175"/>
        <item x="10"/>
        <item x="4"/>
        <item x="9"/>
        <item x="88"/>
        <item x="104"/>
        <item x="8"/>
        <item x="33"/>
        <item x="140"/>
        <item x="141"/>
        <item x="124"/>
        <item x="174"/>
        <item x="28"/>
        <item x="69"/>
        <item x="58"/>
        <item x="80"/>
        <item x="131"/>
        <item x="96"/>
        <item x="77"/>
        <item x="134"/>
        <item x="133"/>
        <item x="168"/>
        <item x="48"/>
        <item x="148"/>
        <item x="67"/>
        <item x="121"/>
        <item x="74"/>
        <item x="19"/>
        <item x="81"/>
        <item x="130"/>
        <item x="72"/>
        <item x="65"/>
        <item x="179"/>
        <item x="126"/>
        <item x="59"/>
        <item x="21"/>
        <item x="117"/>
        <item x="35"/>
        <item x="138"/>
        <item x="170"/>
        <item x="62"/>
        <item x="92"/>
        <item x="60"/>
        <item x="90"/>
        <item x="151"/>
        <item x="107"/>
        <item x="155"/>
        <item x="128"/>
        <item x="177"/>
        <item x="89"/>
        <item x="115"/>
        <item x="41"/>
        <item x="113"/>
        <item x="161"/>
        <item x="29"/>
        <item x="84"/>
        <item x="171"/>
        <item x="14"/>
        <item x="49"/>
        <item x="142"/>
        <item x="7"/>
        <item x="86"/>
        <item x="122"/>
        <item x="119"/>
        <item x="97"/>
        <item x="83"/>
        <item x="101"/>
        <item x="95"/>
        <item x="99"/>
        <item x="153"/>
        <item x="106"/>
        <item x="13"/>
        <item x="111"/>
        <item x="3"/>
        <item x="75"/>
        <item x="173"/>
        <item x="70"/>
        <item x="56"/>
        <item x="12"/>
        <item x="30"/>
        <item x="57"/>
        <item x="154"/>
        <item x="40"/>
        <item x="102"/>
        <item x="39"/>
        <item x="91"/>
        <item x="159"/>
        <item x="165"/>
        <item x="18"/>
        <item x="47"/>
        <item t="default"/>
      </items>
    </pivotField>
    <pivotField showAll="0">
      <items count="564">
        <item x="418"/>
        <item x="15"/>
        <item x="561"/>
        <item x="105"/>
        <item x="305"/>
        <item x="340"/>
        <item x="170"/>
        <item x="474"/>
        <item x="115"/>
        <item x="19"/>
        <item x="235"/>
        <item x="23"/>
        <item x="422"/>
        <item x="69"/>
        <item x="555"/>
        <item x="350"/>
        <item x="197"/>
        <item x="129"/>
        <item x="43"/>
        <item x="332"/>
        <item x="221"/>
        <item x="125"/>
        <item x="306"/>
        <item x="180"/>
        <item x="527"/>
        <item x="155"/>
        <item x="414"/>
        <item x="10"/>
        <item x="462"/>
        <item x="552"/>
        <item x="294"/>
        <item x="503"/>
        <item x="252"/>
        <item x="159"/>
        <item x="495"/>
        <item x="312"/>
        <item x="501"/>
        <item x="553"/>
        <item x="545"/>
        <item x="487"/>
        <item x="310"/>
        <item x="301"/>
        <item x="291"/>
        <item x="137"/>
        <item x="212"/>
        <item x="229"/>
        <item x="429"/>
        <item x="118"/>
        <item x="320"/>
        <item x="318"/>
        <item x="425"/>
        <item x="357"/>
        <item x="239"/>
        <item x="483"/>
        <item x="453"/>
        <item x="139"/>
        <item x="420"/>
        <item x="74"/>
        <item x="516"/>
        <item x="534"/>
        <item x="530"/>
        <item x="448"/>
        <item x="232"/>
        <item x="537"/>
        <item x="211"/>
        <item x="437"/>
        <item x="407"/>
        <item x="151"/>
        <item x="543"/>
        <item x="41"/>
        <item x="175"/>
        <item x="480"/>
        <item x="123"/>
        <item x="494"/>
        <item x="299"/>
        <item x="144"/>
        <item x="188"/>
        <item x="58"/>
        <item x="55"/>
        <item x="65"/>
        <item x="452"/>
        <item x="27"/>
        <item x="436"/>
        <item x="342"/>
        <item x="203"/>
        <item x="141"/>
        <item x="396"/>
        <item x="319"/>
        <item x="147"/>
        <item x="103"/>
        <item x="49"/>
        <item x="131"/>
        <item x="193"/>
        <item x="190"/>
        <item x="428"/>
        <item x="24"/>
        <item x="210"/>
        <item x="108"/>
        <item x="225"/>
        <item x="82"/>
        <item x="469"/>
        <item x="236"/>
        <item x="288"/>
        <item x="377"/>
        <item x="148"/>
        <item x="112"/>
        <item x="316"/>
        <item x="213"/>
        <item x="512"/>
        <item x="401"/>
        <item x="559"/>
        <item x="362"/>
        <item x="451"/>
        <item x="119"/>
        <item x="371"/>
        <item x="258"/>
        <item x="146"/>
        <item x="427"/>
        <item x="410"/>
        <item x="242"/>
        <item x="375"/>
        <item x="404"/>
        <item x="339"/>
        <item x="502"/>
        <item x="34"/>
        <item x="11"/>
        <item x="334"/>
        <item x="12"/>
        <item x="100"/>
        <item x="67"/>
        <item x="233"/>
        <item x="372"/>
        <item x="0"/>
        <item x="78"/>
        <item x="547"/>
        <item x="368"/>
        <item x="475"/>
        <item x="513"/>
        <item x="336"/>
        <item x="32"/>
        <item x="122"/>
        <item x="303"/>
        <item x="412"/>
        <item x="309"/>
        <item x="348"/>
        <item x="333"/>
        <item x="456"/>
        <item x="217"/>
        <item x="80"/>
        <item x="254"/>
        <item x="63"/>
        <item x="26"/>
        <item x="241"/>
        <item x="279"/>
        <item x="153"/>
        <item x="185"/>
        <item x="92"/>
        <item x="140"/>
        <item x="535"/>
        <item x="378"/>
        <item x="460"/>
        <item x="541"/>
        <item x="366"/>
        <item x="511"/>
        <item x="264"/>
        <item x="259"/>
        <item x="142"/>
        <item x="464"/>
        <item x="184"/>
        <item x="351"/>
        <item x="267"/>
        <item x="515"/>
        <item x="476"/>
        <item x="13"/>
        <item x="550"/>
        <item x="323"/>
        <item x="384"/>
        <item x="275"/>
        <item x="56"/>
        <item x="447"/>
        <item x="6"/>
        <item x="214"/>
        <item x="98"/>
        <item x="62"/>
        <item x="285"/>
        <item x="280"/>
        <item x="402"/>
        <item x="222"/>
        <item x="471"/>
        <item x="353"/>
        <item x="47"/>
        <item x="450"/>
        <item x="164"/>
        <item x="521"/>
        <item x="449"/>
        <item x="201"/>
        <item x="482"/>
        <item x="533"/>
        <item x="25"/>
        <item x="383"/>
        <item x="224"/>
        <item x="165"/>
        <item x="71"/>
        <item x="136"/>
        <item x="524"/>
        <item x="431"/>
        <item x="283"/>
        <item x="419"/>
        <item x="426"/>
        <item x="28"/>
        <item x="158"/>
        <item x="243"/>
        <item x="539"/>
        <item x="37"/>
        <item x="356"/>
        <item x="244"/>
        <item x="470"/>
        <item x="461"/>
        <item x="296"/>
        <item x="359"/>
        <item x="260"/>
        <item x="126"/>
        <item x="557"/>
        <item x="128"/>
        <item x="143"/>
        <item x="191"/>
        <item x="132"/>
        <item x="270"/>
        <item x="77"/>
        <item x="179"/>
        <item x="454"/>
        <item x="269"/>
        <item x="562"/>
        <item x="113"/>
        <item x="22"/>
        <item x="35"/>
        <item x="277"/>
        <item x="114"/>
        <item x="435"/>
        <item x="16"/>
        <item x="504"/>
        <item x="394"/>
        <item x="110"/>
        <item x="39"/>
        <item x="265"/>
        <item x="93"/>
        <item x="121"/>
        <item x="124"/>
        <item x="90"/>
        <item x="443"/>
        <item x="240"/>
        <item x="538"/>
        <item x="458"/>
        <item x="556"/>
        <item x="86"/>
        <item x="208"/>
        <item x="152"/>
        <item x="149"/>
        <item x="293"/>
        <item x="554"/>
        <item x="392"/>
        <item x="496"/>
        <item x="177"/>
        <item x="263"/>
        <item x="106"/>
        <item x="520"/>
        <item x="444"/>
        <item x="290"/>
        <item x="374"/>
        <item x="133"/>
        <item x="75"/>
        <item x="246"/>
        <item x="400"/>
        <item x="234"/>
        <item x="64"/>
        <item x="262"/>
        <item x="399"/>
        <item x="523"/>
        <item x="395"/>
        <item x="42"/>
        <item x="95"/>
        <item x="445"/>
        <item x="46"/>
        <item x="302"/>
        <item x="54"/>
        <item x="519"/>
        <item x="417"/>
        <item x="308"/>
        <item x="500"/>
        <item x="528"/>
        <item x="227"/>
        <item x="274"/>
        <item x="514"/>
        <item x="5"/>
        <item x="209"/>
        <item x="430"/>
        <item x="130"/>
        <item x="266"/>
        <item x="508"/>
        <item x="297"/>
        <item x="40"/>
        <item x="248"/>
        <item x="281"/>
        <item x="174"/>
        <item x="327"/>
        <item x="97"/>
        <item x="321"/>
        <item x="182"/>
        <item x="181"/>
        <item x="101"/>
        <item x="409"/>
        <item x="505"/>
        <item x="87"/>
        <item x="497"/>
        <item x="99"/>
        <item x="421"/>
        <item x="52"/>
        <item x="358"/>
        <item x="536"/>
        <item x="85"/>
        <item x="194"/>
        <item x="172"/>
        <item x="393"/>
        <item x="135"/>
        <item x="199"/>
        <item x="406"/>
        <item x="509"/>
        <item x="363"/>
        <item x="61"/>
        <item x="166"/>
        <item x="178"/>
        <item x="30"/>
        <item x="381"/>
        <item x="116"/>
        <item x="204"/>
        <item x="560"/>
        <item x="29"/>
        <item x="45"/>
        <item x="367"/>
        <item x="109"/>
        <item x="2"/>
        <item x="251"/>
        <item x="465"/>
        <item x="84"/>
        <item x="315"/>
        <item x="17"/>
        <item x="79"/>
        <item x="311"/>
        <item x="94"/>
        <item x="127"/>
        <item x="268"/>
        <item x="271"/>
        <item x="478"/>
        <item x="247"/>
        <item x="492"/>
        <item x="70"/>
        <item x="313"/>
        <item x="531"/>
        <item x="44"/>
        <item x="439"/>
        <item x="245"/>
        <item x="66"/>
        <item x="104"/>
        <item x="489"/>
        <item x="83"/>
        <item x="434"/>
        <item x="228"/>
        <item x="53"/>
        <item x="59"/>
        <item x="292"/>
        <item x="220"/>
        <item x="544"/>
        <item x="558"/>
        <item x="295"/>
        <item x="411"/>
        <item x="195"/>
        <item x="517"/>
        <item x="385"/>
        <item x="192"/>
        <item x="36"/>
        <item x="76"/>
        <item x="272"/>
        <item x="522"/>
        <item x="379"/>
        <item x="231"/>
        <item x="442"/>
        <item x="169"/>
        <item x="278"/>
        <item x="33"/>
        <item x="349"/>
        <item x="261"/>
        <item x="8"/>
        <item x="50"/>
        <item x="346"/>
        <item x="18"/>
        <item x="438"/>
        <item x="304"/>
        <item x="257"/>
        <item x="403"/>
        <item x="382"/>
        <item x="549"/>
        <item x="473"/>
        <item x="73"/>
        <item x="183"/>
        <item x="173"/>
        <item x="380"/>
        <item x="408"/>
        <item x="386"/>
        <item x="89"/>
        <item x="286"/>
        <item x="472"/>
        <item x="344"/>
        <item x="387"/>
        <item x="415"/>
        <item x="250"/>
        <item x="526"/>
        <item x="440"/>
        <item x="341"/>
        <item x="7"/>
        <item x="518"/>
        <item x="307"/>
        <item x="176"/>
        <item x="490"/>
        <item x="317"/>
        <item x="551"/>
        <item x="330"/>
        <item x="300"/>
        <item x="337"/>
        <item x="546"/>
        <item x="466"/>
        <item x="331"/>
        <item x="102"/>
        <item x="68"/>
        <item x="57"/>
        <item x="498"/>
        <item x="205"/>
        <item x="1"/>
        <item x="360"/>
        <item x="491"/>
        <item x="328"/>
        <item x="548"/>
        <item x="486"/>
        <item x="31"/>
        <item x="529"/>
        <item x="48"/>
        <item x="256"/>
        <item x="218"/>
        <item x="282"/>
        <item x="506"/>
        <item x="433"/>
        <item x="459"/>
        <item x="390"/>
        <item x="467"/>
        <item x="329"/>
        <item x="163"/>
        <item x="479"/>
        <item x="161"/>
        <item x="352"/>
        <item x="223"/>
        <item x="253"/>
        <item x="347"/>
        <item x="397"/>
        <item x="507"/>
        <item x="167"/>
        <item x="14"/>
        <item x="20"/>
        <item x="9"/>
        <item x="376"/>
        <item x="138"/>
        <item x="532"/>
        <item x="216"/>
        <item x="287"/>
        <item x="423"/>
        <item x="314"/>
        <item x="424"/>
        <item x="354"/>
        <item x="298"/>
        <item x="389"/>
        <item x="325"/>
        <item x="51"/>
        <item x="510"/>
        <item x="338"/>
        <item x="207"/>
        <item x="237"/>
        <item x="276"/>
        <item x="215"/>
        <item x="145"/>
        <item x="202"/>
        <item x="4"/>
        <item x="373"/>
        <item x="345"/>
        <item x="273"/>
        <item x="499"/>
        <item x="468"/>
        <item x="111"/>
        <item x="226"/>
        <item x="484"/>
        <item x="324"/>
        <item x="525"/>
        <item x="238"/>
        <item x="446"/>
        <item x="370"/>
        <item x="391"/>
        <item x="186"/>
        <item x="21"/>
        <item x="413"/>
        <item x="365"/>
        <item x="457"/>
        <item x="189"/>
        <item x="284"/>
        <item x="117"/>
        <item x="91"/>
        <item x="441"/>
        <item x="160"/>
        <item x="485"/>
        <item x="72"/>
        <item x="219"/>
        <item x="96"/>
        <item x="463"/>
        <item x="405"/>
        <item x="455"/>
        <item x="477"/>
        <item x="162"/>
        <item x="481"/>
        <item x="398"/>
        <item x="540"/>
        <item x="200"/>
        <item x="230"/>
        <item x="157"/>
        <item x="488"/>
        <item x="355"/>
        <item x="120"/>
        <item x="88"/>
        <item x="196"/>
        <item x="249"/>
        <item x="81"/>
        <item x="154"/>
        <item x="289"/>
        <item x="361"/>
        <item x="107"/>
        <item x="343"/>
        <item x="326"/>
        <item x="198"/>
        <item x="206"/>
        <item x="156"/>
        <item x="542"/>
        <item x="388"/>
        <item x="187"/>
        <item x="335"/>
        <item x="168"/>
        <item x="60"/>
        <item x="171"/>
        <item x="150"/>
        <item x="369"/>
        <item x="322"/>
        <item x="134"/>
        <item x="364"/>
        <item x="416"/>
        <item x="432"/>
        <item x="255"/>
        <item x="493"/>
        <item x="38"/>
        <item x="3"/>
        <item t="default"/>
      </items>
    </pivotField>
    <pivotField showAll="0">
      <items count="7">
        <item x="0"/>
        <item x="4"/>
        <item x="1"/>
        <item x="3"/>
        <item x="5"/>
        <item x="2"/>
        <item t="default"/>
      </items>
    </pivotField>
    <pivotField showAll="0"/>
    <pivotField showAll="0">
      <items count="4">
        <item x="2"/>
        <item x="0"/>
        <item x="1"/>
        <item t="default"/>
      </items>
    </pivotField>
    <pivotField showAll="0">
      <items count="5">
        <item x="3"/>
        <item x="2"/>
        <item x="1"/>
        <item x="0"/>
        <item t="default"/>
      </items>
    </pivotField>
    <pivotField axis="axisRow" showAll="0">
      <items count="12">
        <item x="6"/>
        <item x="9"/>
        <item x="0"/>
        <item x="4"/>
        <item x="8"/>
        <item x="7"/>
        <item x="2"/>
        <item x="3"/>
        <item x="1"/>
        <item x="5"/>
        <item x="10"/>
        <item t="default"/>
      </items>
    </pivotField>
    <pivotField showAll="0"/>
    <pivotField dataField="1" showAll="0"/>
    <pivotField showAll="0"/>
  </pivotFields>
  <rowFields count="1">
    <field x="7"/>
  </rowFields>
  <rowItems count="12">
    <i>
      <x/>
    </i>
    <i>
      <x v="1"/>
    </i>
    <i>
      <x v="2"/>
    </i>
    <i>
      <x v="3"/>
    </i>
    <i>
      <x v="4"/>
    </i>
    <i>
      <x v="5"/>
    </i>
    <i>
      <x v="6"/>
    </i>
    <i>
      <x v="7"/>
    </i>
    <i>
      <x v="8"/>
    </i>
    <i>
      <x v="9"/>
    </i>
    <i>
      <x v="10"/>
    </i>
    <i t="grand">
      <x/>
    </i>
  </rowItems>
  <colItems count="1">
    <i/>
  </colItems>
  <dataFields count="1">
    <dataField name="Sum of Unit Price" fld="9" baseField="0" baseItem="0"/>
  </dataFields>
  <chartFormats count="2">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C80F73-E2EA-4625-80BA-1B45501B5C8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items count="181">
        <item x="135"/>
        <item x="150"/>
        <item x="53"/>
        <item x="43"/>
        <item x="55"/>
        <item x="120"/>
        <item x="71"/>
        <item x="79"/>
        <item x="26"/>
        <item x="127"/>
        <item x="169"/>
        <item x="156"/>
        <item x="176"/>
        <item x="110"/>
        <item x="1"/>
        <item x="164"/>
        <item x="0"/>
        <item x="82"/>
        <item x="68"/>
        <item x="144"/>
        <item x="61"/>
        <item x="108"/>
        <item x="17"/>
        <item x="157"/>
        <item x="52"/>
        <item x="16"/>
        <item x="147"/>
        <item x="94"/>
        <item x="145"/>
        <item x="66"/>
        <item x="167"/>
        <item x="20"/>
        <item x="129"/>
        <item x="105"/>
        <item x="50"/>
        <item x="103"/>
        <item x="15"/>
        <item x="139"/>
        <item x="5"/>
        <item x="38"/>
        <item x="73"/>
        <item x="87"/>
        <item x="137"/>
        <item x="24"/>
        <item x="143"/>
        <item x="76"/>
        <item x="114"/>
        <item x="85"/>
        <item x="146"/>
        <item x="93"/>
        <item x="163"/>
        <item x="109"/>
        <item x="6"/>
        <item x="78"/>
        <item x="152"/>
        <item x="116"/>
        <item x="172"/>
        <item x="31"/>
        <item x="11"/>
        <item x="136"/>
        <item x="37"/>
        <item x="98"/>
        <item x="46"/>
        <item x="36"/>
        <item x="118"/>
        <item x="54"/>
        <item x="166"/>
        <item x="160"/>
        <item x="25"/>
        <item x="22"/>
        <item x="44"/>
        <item x="45"/>
        <item x="112"/>
        <item x="51"/>
        <item x="178"/>
        <item x="34"/>
        <item x="27"/>
        <item x="64"/>
        <item x="32"/>
        <item x="23"/>
        <item x="132"/>
        <item x="149"/>
        <item x="162"/>
        <item x="100"/>
        <item x="158"/>
        <item x="125"/>
        <item x="42"/>
        <item x="123"/>
        <item x="2"/>
        <item x="63"/>
        <item x="175"/>
        <item x="10"/>
        <item x="4"/>
        <item x="9"/>
        <item x="88"/>
        <item x="104"/>
        <item x="8"/>
        <item x="33"/>
        <item x="140"/>
        <item x="141"/>
        <item x="124"/>
        <item x="174"/>
        <item x="28"/>
        <item x="69"/>
        <item x="58"/>
        <item x="80"/>
        <item x="131"/>
        <item x="96"/>
        <item x="77"/>
        <item x="134"/>
        <item x="133"/>
        <item x="168"/>
        <item x="48"/>
        <item x="148"/>
        <item x="67"/>
        <item x="121"/>
        <item x="74"/>
        <item x="19"/>
        <item x="81"/>
        <item x="130"/>
        <item x="72"/>
        <item x="65"/>
        <item x="179"/>
        <item x="126"/>
        <item x="59"/>
        <item x="21"/>
        <item x="117"/>
        <item x="35"/>
        <item x="138"/>
        <item x="170"/>
        <item x="62"/>
        <item x="92"/>
        <item x="60"/>
        <item x="90"/>
        <item x="151"/>
        <item x="107"/>
        <item x="155"/>
        <item x="128"/>
        <item x="177"/>
        <item x="89"/>
        <item x="115"/>
        <item x="41"/>
        <item x="113"/>
        <item x="161"/>
        <item x="29"/>
        <item x="84"/>
        <item x="171"/>
        <item x="14"/>
        <item x="49"/>
        <item x="142"/>
        <item x="7"/>
        <item x="86"/>
        <item x="122"/>
        <item x="119"/>
        <item x="97"/>
        <item x="83"/>
        <item x="101"/>
        <item x="95"/>
        <item x="99"/>
        <item x="153"/>
        <item x="106"/>
        <item x="13"/>
        <item x="111"/>
        <item x="3"/>
        <item x="75"/>
        <item x="173"/>
        <item x="70"/>
        <item x="56"/>
        <item x="12"/>
        <item x="30"/>
        <item x="57"/>
        <item x="154"/>
        <item x="40"/>
        <item x="102"/>
        <item x="39"/>
        <item x="91"/>
        <item x="159"/>
        <item x="165"/>
        <item x="18"/>
        <item x="47"/>
        <item t="default"/>
      </items>
    </pivotField>
    <pivotField showAll="0">
      <items count="564">
        <item x="418"/>
        <item x="15"/>
        <item x="561"/>
        <item x="105"/>
        <item x="305"/>
        <item x="340"/>
        <item x="170"/>
        <item x="474"/>
        <item x="115"/>
        <item x="19"/>
        <item x="235"/>
        <item x="23"/>
        <item x="422"/>
        <item x="69"/>
        <item x="555"/>
        <item x="350"/>
        <item x="197"/>
        <item x="129"/>
        <item x="43"/>
        <item x="332"/>
        <item x="221"/>
        <item x="125"/>
        <item x="306"/>
        <item x="180"/>
        <item x="527"/>
        <item x="155"/>
        <item x="414"/>
        <item x="10"/>
        <item x="462"/>
        <item x="552"/>
        <item x="294"/>
        <item x="503"/>
        <item x="252"/>
        <item x="159"/>
        <item x="495"/>
        <item x="312"/>
        <item x="501"/>
        <item x="553"/>
        <item x="545"/>
        <item x="487"/>
        <item x="310"/>
        <item x="301"/>
        <item x="291"/>
        <item x="137"/>
        <item x="212"/>
        <item x="229"/>
        <item x="429"/>
        <item x="118"/>
        <item x="320"/>
        <item x="318"/>
        <item x="425"/>
        <item x="357"/>
        <item x="239"/>
        <item x="483"/>
        <item x="453"/>
        <item x="139"/>
        <item x="420"/>
        <item x="74"/>
        <item x="516"/>
        <item x="534"/>
        <item x="530"/>
        <item x="448"/>
        <item x="232"/>
        <item x="537"/>
        <item x="211"/>
        <item x="437"/>
        <item x="407"/>
        <item x="151"/>
        <item x="543"/>
        <item x="41"/>
        <item x="175"/>
        <item x="480"/>
        <item x="123"/>
        <item x="494"/>
        <item x="299"/>
        <item x="144"/>
        <item x="188"/>
        <item x="58"/>
        <item x="55"/>
        <item x="65"/>
        <item x="452"/>
        <item x="27"/>
        <item x="436"/>
        <item x="342"/>
        <item x="203"/>
        <item x="141"/>
        <item x="396"/>
        <item x="319"/>
        <item x="147"/>
        <item x="103"/>
        <item x="49"/>
        <item x="131"/>
        <item x="193"/>
        <item x="190"/>
        <item x="428"/>
        <item x="24"/>
        <item x="210"/>
        <item x="108"/>
        <item x="225"/>
        <item x="82"/>
        <item x="469"/>
        <item x="236"/>
        <item x="288"/>
        <item x="377"/>
        <item x="148"/>
        <item x="112"/>
        <item x="316"/>
        <item x="213"/>
        <item x="512"/>
        <item x="401"/>
        <item x="559"/>
        <item x="362"/>
        <item x="451"/>
        <item x="119"/>
        <item x="371"/>
        <item x="258"/>
        <item x="146"/>
        <item x="427"/>
        <item x="410"/>
        <item x="242"/>
        <item x="375"/>
        <item x="404"/>
        <item x="339"/>
        <item x="502"/>
        <item x="34"/>
        <item x="11"/>
        <item x="334"/>
        <item x="12"/>
        <item x="100"/>
        <item x="67"/>
        <item x="233"/>
        <item x="372"/>
        <item x="0"/>
        <item x="78"/>
        <item x="547"/>
        <item x="368"/>
        <item x="475"/>
        <item x="513"/>
        <item x="336"/>
        <item x="32"/>
        <item x="122"/>
        <item x="303"/>
        <item x="412"/>
        <item x="309"/>
        <item x="348"/>
        <item x="333"/>
        <item x="456"/>
        <item x="217"/>
        <item x="80"/>
        <item x="254"/>
        <item x="63"/>
        <item x="26"/>
        <item x="241"/>
        <item x="279"/>
        <item x="153"/>
        <item x="185"/>
        <item x="92"/>
        <item x="140"/>
        <item x="535"/>
        <item x="378"/>
        <item x="460"/>
        <item x="541"/>
        <item x="366"/>
        <item x="511"/>
        <item x="264"/>
        <item x="259"/>
        <item x="142"/>
        <item x="464"/>
        <item x="184"/>
        <item x="351"/>
        <item x="267"/>
        <item x="515"/>
        <item x="476"/>
        <item x="13"/>
        <item x="550"/>
        <item x="323"/>
        <item x="384"/>
        <item x="275"/>
        <item x="56"/>
        <item x="447"/>
        <item x="6"/>
        <item x="214"/>
        <item x="98"/>
        <item x="62"/>
        <item x="285"/>
        <item x="280"/>
        <item x="402"/>
        <item x="222"/>
        <item x="471"/>
        <item x="353"/>
        <item x="47"/>
        <item x="450"/>
        <item x="164"/>
        <item x="521"/>
        <item x="449"/>
        <item x="201"/>
        <item x="482"/>
        <item x="533"/>
        <item x="25"/>
        <item x="383"/>
        <item x="224"/>
        <item x="165"/>
        <item x="71"/>
        <item x="136"/>
        <item x="524"/>
        <item x="431"/>
        <item x="283"/>
        <item x="419"/>
        <item x="426"/>
        <item x="28"/>
        <item x="158"/>
        <item x="243"/>
        <item x="539"/>
        <item x="37"/>
        <item x="356"/>
        <item x="244"/>
        <item x="470"/>
        <item x="461"/>
        <item x="296"/>
        <item x="359"/>
        <item x="260"/>
        <item x="126"/>
        <item x="557"/>
        <item x="128"/>
        <item x="143"/>
        <item x="191"/>
        <item x="132"/>
        <item x="270"/>
        <item x="77"/>
        <item x="179"/>
        <item x="454"/>
        <item x="269"/>
        <item x="562"/>
        <item x="113"/>
        <item x="22"/>
        <item x="35"/>
        <item x="277"/>
        <item x="114"/>
        <item x="435"/>
        <item x="16"/>
        <item x="504"/>
        <item x="394"/>
        <item x="110"/>
        <item x="39"/>
        <item x="265"/>
        <item x="93"/>
        <item x="121"/>
        <item x="124"/>
        <item x="90"/>
        <item x="443"/>
        <item x="240"/>
        <item x="538"/>
        <item x="458"/>
        <item x="556"/>
        <item x="86"/>
        <item x="208"/>
        <item x="152"/>
        <item x="149"/>
        <item x="293"/>
        <item x="554"/>
        <item x="392"/>
        <item x="496"/>
        <item x="177"/>
        <item x="263"/>
        <item x="106"/>
        <item x="520"/>
        <item x="444"/>
        <item x="290"/>
        <item x="374"/>
        <item x="133"/>
        <item x="75"/>
        <item x="246"/>
        <item x="400"/>
        <item x="234"/>
        <item x="64"/>
        <item x="262"/>
        <item x="399"/>
        <item x="523"/>
        <item x="395"/>
        <item x="42"/>
        <item x="95"/>
        <item x="445"/>
        <item x="46"/>
        <item x="302"/>
        <item x="54"/>
        <item x="519"/>
        <item x="417"/>
        <item x="308"/>
        <item x="500"/>
        <item x="528"/>
        <item x="227"/>
        <item x="274"/>
        <item x="514"/>
        <item x="5"/>
        <item x="209"/>
        <item x="430"/>
        <item x="130"/>
        <item x="266"/>
        <item x="508"/>
        <item x="297"/>
        <item x="40"/>
        <item x="248"/>
        <item x="281"/>
        <item x="174"/>
        <item x="327"/>
        <item x="97"/>
        <item x="321"/>
        <item x="182"/>
        <item x="181"/>
        <item x="101"/>
        <item x="409"/>
        <item x="505"/>
        <item x="87"/>
        <item x="497"/>
        <item x="99"/>
        <item x="421"/>
        <item x="52"/>
        <item x="358"/>
        <item x="536"/>
        <item x="85"/>
        <item x="194"/>
        <item x="172"/>
        <item x="393"/>
        <item x="135"/>
        <item x="199"/>
        <item x="406"/>
        <item x="509"/>
        <item x="363"/>
        <item x="61"/>
        <item x="166"/>
        <item x="178"/>
        <item x="30"/>
        <item x="381"/>
        <item x="116"/>
        <item x="204"/>
        <item x="560"/>
        <item x="29"/>
        <item x="45"/>
        <item x="367"/>
        <item x="109"/>
        <item x="2"/>
        <item x="251"/>
        <item x="465"/>
        <item x="84"/>
        <item x="315"/>
        <item x="17"/>
        <item x="79"/>
        <item x="311"/>
        <item x="94"/>
        <item x="127"/>
        <item x="268"/>
        <item x="271"/>
        <item x="478"/>
        <item x="247"/>
        <item x="492"/>
        <item x="70"/>
        <item x="313"/>
        <item x="531"/>
        <item x="44"/>
        <item x="439"/>
        <item x="245"/>
        <item x="66"/>
        <item x="104"/>
        <item x="489"/>
        <item x="83"/>
        <item x="434"/>
        <item x="228"/>
        <item x="53"/>
        <item x="59"/>
        <item x="292"/>
        <item x="220"/>
        <item x="544"/>
        <item x="558"/>
        <item x="295"/>
        <item x="411"/>
        <item x="195"/>
        <item x="517"/>
        <item x="385"/>
        <item x="192"/>
        <item x="36"/>
        <item x="76"/>
        <item x="272"/>
        <item x="522"/>
        <item x="379"/>
        <item x="231"/>
        <item x="442"/>
        <item x="169"/>
        <item x="278"/>
        <item x="33"/>
        <item x="349"/>
        <item x="261"/>
        <item x="8"/>
        <item x="50"/>
        <item x="346"/>
        <item x="18"/>
        <item x="438"/>
        <item x="304"/>
        <item x="257"/>
        <item x="403"/>
        <item x="382"/>
        <item x="549"/>
        <item x="473"/>
        <item x="73"/>
        <item x="183"/>
        <item x="173"/>
        <item x="380"/>
        <item x="408"/>
        <item x="386"/>
        <item x="89"/>
        <item x="286"/>
        <item x="472"/>
        <item x="344"/>
        <item x="387"/>
        <item x="415"/>
        <item x="250"/>
        <item x="526"/>
        <item x="440"/>
        <item x="341"/>
        <item x="7"/>
        <item x="518"/>
        <item x="307"/>
        <item x="176"/>
        <item x="490"/>
        <item x="317"/>
        <item x="551"/>
        <item x="330"/>
        <item x="300"/>
        <item x="337"/>
        <item x="546"/>
        <item x="466"/>
        <item x="331"/>
        <item x="102"/>
        <item x="68"/>
        <item x="57"/>
        <item x="498"/>
        <item x="205"/>
        <item x="1"/>
        <item x="360"/>
        <item x="491"/>
        <item x="328"/>
        <item x="548"/>
        <item x="486"/>
        <item x="31"/>
        <item x="529"/>
        <item x="48"/>
        <item x="256"/>
        <item x="218"/>
        <item x="282"/>
        <item x="506"/>
        <item x="433"/>
        <item x="459"/>
        <item x="390"/>
        <item x="467"/>
        <item x="329"/>
        <item x="163"/>
        <item x="479"/>
        <item x="161"/>
        <item x="352"/>
        <item x="223"/>
        <item x="253"/>
        <item x="347"/>
        <item x="397"/>
        <item x="507"/>
        <item x="167"/>
        <item x="14"/>
        <item x="20"/>
        <item x="9"/>
        <item x="376"/>
        <item x="138"/>
        <item x="532"/>
        <item x="216"/>
        <item x="287"/>
        <item x="423"/>
        <item x="314"/>
        <item x="424"/>
        <item x="354"/>
        <item x="298"/>
        <item x="389"/>
        <item x="325"/>
        <item x="51"/>
        <item x="510"/>
        <item x="338"/>
        <item x="207"/>
        <item x="237"/>
        <item x="276"/>
        <item x="215"/>
        <item x="145"/>
        <item x="202"/>
        <item x="4"/>
        <item x="373"/>
        <item x="345"/>
        <item x="273"/>
        <item x="499"/>
        <item x="468"/>
        <item x="111"/>
        <item x="226"/>
        <item x="484"/>
        <item x="324"/>
        <item x="525"/>
        <item x="238"/>
        <item x="446"/>
        <item x="370"/>
        <item x="391"/>
        <item x="186"/>
        <item x="21"/>
        <item x="413"/>
        <item x="365"/>
        <item x="457"/>
        <item x="189"/>
        <item x="284"/>
        <item x="117"/>
        <item x="91"/>
        <item x="441"/>
        <item x="160"/>
        <item x="485"/>
        <item x="72"/>
        <item x="219"/>
        <item x="96"/>
        <item x="463"/>
        <item x="405"/>
        <item x="455"/>
        <item x="477"/>
        <item x="162"/>
        <item x="481"/>
        <item x="398"/>
        <item x="540"/>
        <item x="200"/>
        <item x="230"/>
        <item x="157"/>
        <item x="488"/>
        <item x="355"/>
        <item x="120"/>
        <item x="88"/>
        <item x="196"/>
        <item x="249"/>
        <item x="81"/>
        <item x="154"/>
        <item x="289"/>
        <item x="361"/>
        <item x="107"/>
        <item x="343"/>
        <item x="326"/>
        <item x="198"/>
        <item x="206"/>
        <item x="156"/>
        <item x="542"/>
        <item x="388"/>
        <item x="187"/>
        <item x="335"/>
        <item x="168"/>
        <item x="60"/>
        <item x="171"/>
        <item x="150"/>
        <item x="369"/>
        <item x="322"/>
        <item x="134"/>
        <item x="364"/>
        <item x="416"/>
        <item x="432"/>
        <item x="255"/>
        <item x="493"/>
        <item x="38"/>
        <item x="3"/>
        <item t="default"/>
      </items>
    </pivotField>
    <pivotField showAll="0">
      <items count="7">
        <item x="0"/>
        <item x="4"/>
        <item x="1"/>
        <item x="3"/>
        <item x="5"/>
        <item x="2"/>
        <item t="default"/>
      </items>
    </pivotField>
    <pivotField showAll="0"/>
    <pivotField showAll="0">
      <items count="4">
        <item x="2"/>
        <item x="0"/>
        <item x="1"/>
        <item t="default"/>
      </items>
    </pivotField>
    <pivotField showAll="0"/>
    <pivotField showAll="0"/>
    <pivotField showAll="0"/>
    <pivotField showAll="0"/>
    <pivotField dataField="1" showAll="0"/>
  </pivotFields>
  <rowItems count="1">
    <i/>
  </rowItems>
  <colItems count="1">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DC3C7D-9B09-4C61-AB56-3CB0B4A1AB2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18:K34" firstHeaderRow="1" firstDataRow="1" firstDataCol="1"/>
  <pivotFields count="11">
    <pivotField showAll="0"/>
    <pivotField showAll="0">
      <items count="181">
        <item x="135"/>
        <item x="150"/>
        <item x="53"/>
        <item x="43"/>
        <item x="55"/>
        <item x="120"/>
        <item x="71"/>
        <item x="79"/>
        <item x="26"/>
        <item x="127"/>
        <item x="169"/>
        <item x="156"/>
        <item x="176"/>
        <item x="110"/>
        <item x="1"/>
        <item x="164"/>
        <item x="0"/>
        <item x="82"/>
        <item x="68"/>
        <item x="144"/>
        <item x="61"/>
        <item x="108"/>
        <item x="17"/>
        <item x="157"/>
        <item x="52"/>
        <item x="16"/>
        <item x="147"/>
        <item x="94"/>
        <item x="145"/>
        <item x="66"/>
        <item x="167"/>
        <item x="20"/>
        <item x="129"/>
        <item x="105"/>
        <item x="50"/>
        <item x="103"/>
        <item x="15"/>
        <item x="139"/>
        <item x="5"/>
        <item x="38"/>
        <item x="73"/>
        <item x="87"/>
        <item x="137"/>
        <item x="24"/>
        <item x="143"/>
        <item x="76"/>
        <item x="114"/>
        <item x="85"/>
        <item x="146"/>
        <item x="93"/>
        <item x="163"/>
        <item x="109"/>
        <item x="6"/>
        <item x="78"/>
        <item x="152"/>
        <item x="116"/>
        <item x="172"/>
        <item x="31"/>
        <item x="11"/>
        <item x="136"/>
        <item x="37"/>
        <item x="98"/>
        <item x="46"/>
        <item x="36"/>
        <item x="118"/>
        <item x="54"/>
        <item x="166"/>
        <item x="160"/>
        <item x="25"/>
        <item x="22"/>
        <item x="44"/>
        <item x="45"/>
        <item x="112"/>
        <item x="51"/>
        <item x="178"/>
        <item x="34"/>
        <item x="27"/>
        <item x="64"/>
        <item x="32"/>
        <item x="23"/>
        <item x="132"/>
        <item x="149"/>
        <item x="162"/>
        <item x="100"/>
        <item x="158"/>
        <item x="125"/>
        <item x="42"/>
        <item x="123"/>
        <item x="2"/>
        <item x="63"/>
        <item x="175"/>
        <item x="10"/>
        <item x="4"/>
        <item x="9"/>
        <item x="88"/>
        <item x="104"/>
        <item x="8"/>
        <item x="33"/>
        <item x="140"/>
        <item x="141"/>
        <item x="124"/>
        <item x="174"/>
        <item x="28"/>
        <item x="69"/>
        <item x="58"/>
        <item x="80"/>
        <item x="131"/>
        <item x="96"/>
        <item x="77"/>
        <item x="134"/>
        <item x="133"/>
        <item x="168"/>
        <item x="48"/>
        <item x="148"/>
        <item x="67"/>
        <item x="121"/>
        <item x="74"/>
        <item x="19"/>
        <item x="81"/>
        <item x="130"/>
        <item x="72"/>
        <item x="65"/>
        <item x="179"/>
        <item x="126"/>
        <item x="59"/>
        <item x="21"/>
        <item x="117"/>
        <item x="35"/>
        <item x="138"/>
        <item x="170"/>
        <item x="62"/>
        <item x="92"/>
        <item x="60"/>
        <item x="90"/>
        <item x="151"/>
        <item x="107"/>
        <item x="155"/>
        <item x="128"/>
        <item x="177"/>
        <item x="89"/>
        <item x="115"/>
        <item x="41"/>
        <item x="113"/>
        <item x="161"/>
        <item x="29"/>
        <item x="84"/>
        <item x="171"/>
        <item x="14"/>
        <item x="49"/>
        <item x="142"/>
        <item x="7"/>
        <item x="86"/>
        <item x="122"/>
        <item x="119"/>
        <item x="97"/>
        <item x="83"/>
        <item x="101"/>
        <item x="95"/>
        <item x="99"/>
        <item x="153"/>
        <item x="106"/>
        <item x="13"/>
        <item x="111"/>
        <item x="3"/>
        <item x="75"/>
        <item x="173"/>
        <item x="70"/>
        <item x="56"/>
        <item x="12"/>
        <item x="30"/>
        <item x="57"/>
        <item x="154"/>
        <item x="40"/>
        <item x="102"/>
        <item x="39"/>
        <item x="91"/>
        <item x="159"/>
        <item x="165"/>
        <item x="18"/>
        <item x="47"/>
        <item t="default"/>
      </items>
    </pivotField>
    <pivotField showAll="0">
      <items count="564">
        <item x="418"/>
        <item x="15"/>
        <item x="561"/>
        <item x="105"/>
        <item x="305"/>
        <item x="340"/>
        <item x="170"/>
        <item x="474"/>
        <item x="115"/>
        <item x="19"/>
        <item x="235"/>
        <item x="23"/>
        <item x="422"/>
        <item x="69"/>
        <item x="555"/>
        <item x="350"/>
        <item x="197"/>
        <item x="129"/>
        <item x="43"/>
        <item x="332"/>
        <item x="221"/>
        <item x="125"/>
        <item x="306"/>
        <item x="180"/>
        <item x="527"/>
        <item x="155"/>
        <item x="414"/>
        <item x="10"/>
        <item x="462"/>
        <item x="552"/>
        <item x="294"/>
        <item x="503"/>
        <item x="252"/>
        <item x="159"/>
        <item x="495"/>
        <item x="312"/>
        <item x="501"/>
        <item x="553"/>
        <item x="545"/>
        <item x="487"/>
        <item x="310"/>
        <item x="301"/>
        <item x="291"/>
        <item x="137"/>
        <item x="212"/>
        <item x="229"/>
        <item x="429"/>
        <item x="118"/>
        <item x="320"/>
        <item x="318"/>
        <item x="425"/>
        <item x="357"/>
        <item x="239"/>
        <item x="483"/>
        <item x="453"/>
        <item x="139"/>
        <item x="420"/>
        <item x="74"/>
        <item x="516"/>
        <item x="534"/>
        <item x="530"/>
        <item x="448"/>
        <item x="232"/>
        <item x="537"/>
        <item x="211"/>
        <item x="437"/>
        <item x="407"/>
        <item x="151"/>
        <item x="543"/>
        <item x="41"/>
        <item x="175"/>
        <item x="480"/>
        <item x="123"/>
        <item x="494"/>
        <item x="299"/>
        <item x="144"/>
        <item x="188"/>
        <item x="58"/>
        <item x="55"/>
        <item x="65"/>
        <item x="452"/>
        <item x="27"/>
        <item x="436"/>
        <item x="342"/>
        <item x="203"/>
        <item x="141"/>
        <item x="396"/>
        <item x="319"/>
        <item x="147"/>
        <item x="103"/>
        <item x="49"/>
        <item x="131"/>
        <item x="193"/>
        <item x="190"/>
        <item x="428"/>
        <item x="24"/>
        <item x="210"/>
        <item x="108"/>
        <item x="225"/>
        <item x="82"/>
        <item x="469"/>
        <item x="236"/>
        <item x="288"/>
        <item x="377"/>
        <item x="148"/>
        <item x="112"/>
        <item x="316"/>
        <item x="213"/>
        <item x="512"/>
        <item x="401"/>
        <item x="559"/>
        <item x="362"/>
        <item x="451"/>
        <item x="119"/>
        <item x="371"/>
        <item x="258"/>
        <item x="146"/>
        <item x="427"/>
        <item x="410"/>
        <item x="242"/>
        <item x="375"/>
        <item x="404"/>
        <item x="339"/>
        <item x="502"/>
        <item x="34"/>
        <item x="11"/>
        <item x="334"/>
        <item x="12"/>
        <item x="100"/>
        <item x="67"/>
        <item x="233"/>
        <item x="372"/>
        <item x="0"/>
        <item x="78"/>
        <item x="547"/>
        <item x="368"/>
        <item x="475"/>
        <item x="513"/>
        <item x="336"/>
        <item x="32"/>
        <item x="122"/>
        <item x="303"/>
        <item x="412"/>
        <item x="309"/>
        <item x="348"/>
        <item x="333"/>
        <item x="456"/>
        <item x="217"/>
        <item x="80"/>
        <item x="254"/>
        <item x="63"/>
        <item x="26"/>
        <item x="241"/>
        <item x="279"/>
        <item x="153"/>
        <item x="185"/>
        <item x="92"/>
        <item x="140"/>
        <item x="535"/>
        <item x="378"/>
        <item x="460"/>
        <item x="541"/>
        <item x="366"/>
        <item x="511"/>
        <item x="264"/>
        <item x="259"/>
        <item x="142"/>
        <item x="464"/>
        <item x="184"/>
        <item x="351"/>
        <item x="267"/>
        <item x="515"/>
        <item x="476"/>
        <item x="13"/>
        <item x="550"/>
        <item x="323"/>
        <item x="384"/>
        <item x="275"/>
        <item x="56"/>
        <item x="447"/>
        <item x="6"/>
        <item x="214"/>
        <item x="98"/>
        <item x="62"/>
        <item x="285"/>
        <item x="280"/>
        <item x="402"/>
        <item x="222"/>
        <item x="471"/>
        <item x="353"/>
        <item x="47"/>
        <item x="450"/>
        <item x="164"/>
        <item x="521"/>
        <item x="449"/>
        <item x="201"/>
        <item x="482"/>
        <item x="533"/>
        <item x="25"/>
        <item x="383"/>
        <item x="224"/>
        <item x="165"/>
        <item x="71"/>
        <item x="136"/>
        <item x="524"/>
        <item x="431"/>
        <item x="283"/>
        <item x="419"/>
        <item x="426"/>
        <item x="28"/>
        <item x="158"/>
        <item x="243"/>
        <item x="539"/>
        <item x="37"/>
        <item x="356"/>
        <item x="244"/>
        <item x="470"/>
        <item x="461"/>
        <item x="296"/>
        <item x="359"/>
        <item x="260"/>
        <item x="126"/>
        <item x="557"/>
        <item x="128"/>
        <item x="143"/>
        <item x="191"/>
        <item x="132"/>
        <item x="270"/>
        <item x="77"/>
        <item x="179"/>
        <item x="454"/>
        <item x="269"/>
        <item x="562"/>
        <item x="113"/>
        <item x="22"/>
        <item x="35"/>
        <item x="277"/>
        <item x="114"/>
        <item x="435"/>
        <item x="16"/>
        <item x="504"/>
        <item x="394"/>
        <item x="110"/>
        <item x="39"/>
        <item x="265"/>
        <item x="93"/>
        <item x="121"/>
        <item x="124"/>
        <item x="90"/>
        <item x="443"/>
        <item x="240"/>
        <item x="538"/>
        <item x="458"/>
        <item x="556"/>
        <item x="86"/>
        <item x="208"/>
        <item x="152"/>
        <item x="149"/>
        <item x="293"/>
        <item x="554"/>
        <item x="392"/>
        <item x="496"/>
        <item x="177"/>
        <item x="263"/>
        <item x="106"/>
        <item x="520"/>
        <item x="444"/>
        <item x="290"/>
        <item x="374"/>
        <item x="133"/>
        <item x="75"/>
        <item x="246"/>
        <item x="400"/>
        <item x="234"/>
        <item x="64"/>
        <item x="262"/>
        <item x="399"/>
        <item x="523"/>
        <item x="395"/>
        <item x="42"/>
        <item x="95"/>
        <item x="445"/>
        <item x="46"/>
        <item x="302"/>
        <item x="54"/>
        <item x="519"/>
        <item x="417"/>
        <item x="308"/>
        <item x="500"/>
        <item x="528"/>
        <item x="227"/>
        <item x="274"/>
        <item x="514"/>
        <item x="5"/>
        <item x="209"/>
        <item x="430"/>
        <item x="130"/>
        <item x="266"/>
        <item x="508"/>
        <item x="297"/>
        <item x="40"/>
        <item x="248"/>
        <item x="281"/>
        <item x="174"/>
        <item x="327"/>
        <item x="97"/>
        <item x="321"/>
        <item x="182"/>
        <item x="181"/>
        <item x="101"/>
        <item x="409"/>
        <item x="505"/>
        <item x="87"/>
        <item x="497"/>
        <item x="99"/>
        <item x="421"/>
        <item x="52"/>
        <item x="358"/>
        <item x="536"/>
        <item x="85"/>
        <item x="194"/>
        <item x="172"/>
        <item x="393"/>
        <item x="135"/>
        <item x="199"/>
        <item x="406"/>
        <item x="509"/>
        <item x="363"/>
        <item x="61"/>
        <item x="166"/>
        <item x="178"/>
        <item x="30"/>
        <item x="381"/>
        <item x="116"/>
        <item x="204"/>
        <item x="560"/>
        <item x="29"/>
        <item x="45"/>
        <item x="367"/>
        <item x="109"/>
        <item x="2"/>
        <item x="251"/>
        <item x="465"/>
        <item x="84"/>
        <item x="315"/>
        <item x="17"/>
        <item x="79"/>
        <item x="311"/>
        <item x="94"/>
        <item x="127"/>
        <item x="268"/>
        <item x="271"/>
        <item x="478"/>
        <item x="247"/>
        <item x="492"/>
        <item x="70"/>
        <item x="313"/>
        <item x="531"/>
        <item x="44"/>
        <item x="439"/>
        <item x="245"/>
        <item x="66"/>
        <item x="104"/>
        <item x="489"/>
        <item x="83"/>
        <item x="434"/>
        <item x="228"/>
        <item x="53"/>
        <item x="59"/>
        <item x="292"/>
        <item x="220"/>
        <item x="544"/>
        <item x="558"/>
        <item x="295"/>
        <item x="411"/>
        <item x="195"/>
        <item x="517"/>
        <item x="385"/>
        <item x="192"/>
        <item x="36"/>
        <item x="76"/>
        <item x="272"/>
        <item x="522"/>
        <item x="379"/>
        <item x="231"/>
        <item x="442"/>
        <item x="169"/>
        <item x="278"/>
        <item x="33"/>
        <item x="349"/>
        <item x="261"/>
        <item x="8"/>
        <item x="50"/>
        <item x="346"/>
        <item x="18"/>
        <item x="438"/>
        <item x="304"/>
        <item x="257"/>
        <item x="403"/>
        <item x="382"/>
        <item x="549"/>
        <item x="473"/>
        <item x="73"/>
        <item x="183"/>
        <item x="173"/>
        <item x="380"/>
        <item x="408"/>
        <item x="386"/>
        <item x="89"/>
        <item x="286"/>
        <item x="472"/>
        <item x="344"/>
        <item x="387"/>
        <item x="415"/>
        <item x="250"/>
        <item x="526"/>
        <item x="440"/>
        <item x="341"/>
        <item x="7"/>
        <item x="518"/>
        <item x="307"/>
        <item x="176"/>
        <item x="490"/>
        <item x="317"/>
        <item x="551"/>
        <item x="330"/>
        <item x="300"/>
        <item x="337"/>
        <item x="546"/>
        <item x="466"/>
        <item x="331"/>
        <item x="102"/>
        <item x="68"/>
        <item x="57"/>
        <item x="498"/>
        <item x="205"/>
        <item x="1"/>
        <item x="360"/>
        <item x="491"/>
        <item x="328"/>
        <item x="548"/>
        <item x="486"/>
        <item x="31"/>
        <item x="529"/>
        <item x="48"/>
        <item x="256"/>
        <item x="218"/>
        <item x="282"/>
        <item x="506"/>
        <item x="433"/>
        <item x="459"/>
        <item x="390"/>
        <item x="467"/>
        <item x="329"/>
        <item x="163"/>
        <item x="479"/>
        <item x="161"/>
        <item x="352"/>
        <item x="223"/>
        <item x="253"/>
        <item x="347"/>
        <item x="397"/>
        <item x="507"/>
        <item x="167"/>
        <item x="14"/>
        <item x="20"/>
        <item x="9"/>
        <item x="376"/>
        <item x="138"/>
        <item x="532"/>
        <item x="216"/>
        <item x="287"/>
        <item x="423"/>
        <item x="314"/>
        <item x="424"/>
        <item x="354"/>
        <item x="298"/>
        <item x="389"/>
        <item x="325"/>
        <item x="51"/>
        <item x="510"/>
        <item x="338"/>
        <item x="207"/>
        <item x="237"/>
        <item x="276"/>
        <item x="215"/>
        <item x="145"/>
        <item x="202"/>
        <item x="4"/>
        <item x="373"/>
        <item x="345"/>
        <item x="273"/>
        <item x="499"/>
        <item x="468"/>
        <item x="111"/>
        <item x="226"/>
        <item x="484"/>
        <item x="324"/>
        <item x="525"/>
        <item x="238"/>
        <item x="446"/>
        <item x="370"/>
        <item x="391"/>
        <item x="186"/>
        <item x="21"/>
        <item x="413"/>
        <item x="365"/>
        <item x="457"/>
        <item x="189"/>
        <item x="284"/>
        <item x="117"/>
        <item x="91"/>
        <item x="441"/>
        <item x="160"/>
        <item x="485"/>
        <item x="72"/>
        <item x="219"/>
        <item x="96"/>
        <item x="463"/>
        <item x="405"/>
        <item x="455"/>
        <item x="477"/>
        <item x="162"/>
        <item x="481"/>
        <item x="398"/>
        <item x="540"/>
        <item x="200"/>
        <item x="230"/>
        <item x="157"/>
        <item x="488"/>
        <item x="355"/>
        <item x="120"/>
        <item x="88"/>
        <item x="196"/>
        <item x="249"/>
        <item x="81"/>
        <item x="154"/>
        <item x="289"/>
        <item x="361"/>
        <item x="107"/>
        <item x="343"/>
        <item x="326"/>
        <item x="198"/>
        <item x="206"/>
        <item x="156"/>
        <item x="542"/>
        <item x="388"/>
        <item x="187"/>
        <item x="335"/>
        <item x="168"/>
        <item x="60"/>
        <item x="171"/>
        <item x="150"/>
        <item x="369"/>
        <item x="322"/>
        <item x="134"/>
        <item x="364"/>
        <item x="416"/>
        <item x="432"/>
        <item x="255"/>
        <item x="493"/>
        <item x="38"/>
        <item x="3"/>
        <item t="default"/>
      </items>
    </pivotField>
    <pivotField showAll="0">
      <items count="7">
        <item x="0"/>
        <item x="4"/>
        <item x="1"/>
        <item x="3"/>
        <item x="5"/>
        <item x="2"/>
        <item t="default"/>
      </items>
    </pivotField>
    <pivotField showAll="0"/>
    <pivotField axis="axisRow" showAll="0">
      <items count="4">
        <item x="2"/>
        <item x="0"/>
        <item x="1"/>
        <item t="default"/>
      </items>
    </pivotField>
    <pivotField axis="axisRow" showAll="0">
      <items count="5">
        <item x="3"/>
        <item x="2"/>
        <item x="1"/>
        <item x="0"/>
        <item t="default"/>
      </items>
    </pivotField>
    <pivotField showAll="0">
      <items count="12">
        <item x="6"/>
        <item x="9"/>
        <item x="0"/>
        <item x="4"/>
        <item x="8"/>
        <item x="7"/>
        <item x="2"/>
        <item x="3"/>
        <item x="1"/>
        <item x="5"/>
        <item x="10"/>
        <item t="default"/>
      </items>
    </pivotField>
    <pivotField showAll="0"/>
    <pivotField showAll="0"/>
    <pivotField dataField="1" showAll="0"/>
  </pivotFields>
  <rowFields count="2">
    <field x="5"/>
    <field x="6"/>
  </rowFields>
  <rowItems count="16">
    <i>
      <x/>
    </i>
    <i r="1">
      <x/>
    </i>
    <i r="1">
      <x v="1"/>
    </i>
    <i r="1">
      <x v="2"/>
    </i>
    <i r="1">
      <x v="3"/>
    </i>
    <i>
      <x v="1"/>
    </i>
    <i r="1">
      <x/>
    </i>
    <i r="1">
      <x v="1"/>
    </i>
    <i r="1">
      <x v="2"/>
    </i>
    <i r="1">
      <x v="3"/>
    </i>
    <i>
      <x v="2"/>
    </i>
    <i r="1">
      <x/>
    </i>
    <i r="1">
      <x v="1"/>
    </i>
    <i r="1">
      <x v="2"/>
    </i>
    <i r="1">
      <x v="3"/>
    </i>
    <i t="grand">
      <x/>
    </i>
  </rowItems>
  <colItems count="1">
    <i/>
  </colItems>
  <dataFields count="1">
    <dataField name="Sum of Total Sales" fld="10"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F82C155-0A7F-4D7F-BFD4-B2065918D9D5}"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Z24:AB25" firstHeaderRow="0" firstDataRow="1" firstDataCol="0" rowPageCount="1" colPageCount="1"/>
  <pivotFields count="11">
    <pivotField showAll="0"/>
    <pivotField showAll="0">
      <items count="181">
        <item x="135"/>
        <item x="150"/>
        <item x="53"/>
        <item x="43"/>
        <item x="55"/>
        <item x="120"/>
        <item x="71"/>
        <item x="79"/>
        <item x="26"/>
        <item x="127"/>
        <item x="169"/>
        <item x="156"/>
        <item x="176"/>
        <item x="110"/>
        <item x="1"/>
        <item x="164"/>
        <item x="0"/>
        <item x="82"/>
        <item x="68"/>
        <item x="144"/>
        <item x="61"/>
        <item x="108"/>
        <item x="17"/>
        <item x="157"/>
        <item x="52"/>
        <item x="16"/>
        <item x="147"/>
        <item x="94"/>
        <item x="145"/>
        <item x="66"/>
        <item x="167"/>
        <item x="20"/>
        <item x="129"/>
        <item x="105"/>
        <item x="50"/>
        <item x="103"/>
        <item x="15"/>
        <item x="139"/>
        <item x="5"/>
        <item x="38"/>
        <item x="73"/>
        <item x="87"/>
        <item x="137"/>
        <item x="24"/>
        <item x="143"/>
        <item x="76"/>
        <item x="114"/>
        <item x="85"/>
        <item x="146"/>
        <item x="93"/>
        <item x="163"/>
        <item x="109"/>
        <item x="6"/>
        <item x="78"/>
        <item x="152"/>
        <item x="116"/>
        <item x="172"/>
        <item x="31"/>
        <item x="11"/>
        <item x="136"/>
        <item x="37"/>
        <item x="98"/>
        <item x="46"/>
        <item x="36"/>
        <item x="118"/>
        <item x="54"/>
        <item x="166"/>
        <item x="160"/>
        <item x="25"/>
        <item x="22"/>
        <item x="44"/>
        <item x="45"/>
        <item x="112"/>
        <item x="51"/>
        <item x="178"/>
        <item x="34"/>
        <item x="27"/>
        <item x="64"/>
        <item x="32"/>
        <item x="23"/>
        <item x="132"/>
        <item x="149"/>
        <item x="162"/>
        <item x="100"/>
        <item x="158"/>
        <item x="125"/>
        <item x="42"/>
        <item x="123"/>
        <item x="2"/>
        <item x="63"/>
        <item x="175"/>
        <item x="10"/>
        <item x="4"/>
        <item x="9"/>
        <item x="88"/>
        <item x="104"/>
        <item x="8"/>
        <item x="33"/>
        <item x="140"/>
        <item x="141"/>
        <item x="124"/>
        <item x="174"/>
        <item x="28"/>
        <item x="69"/>
        <item x="58"/>
        <item x="80"/>
        <item x="131"/>
        <item x="96"/>
        <item x="77"/>
        <item x="134"/>
        <item x="133"/>
        <item x="168"/>
        <item x="48"/>
        <item x="148"/>
        <item x="67"/>
        <item x="121"/>
        <item x="74"/>
        <item x="19"/>
        <item x="81"/>
        <item x="130"/>
        <item x="72"/>
        <item x="65"/>
        <item x="179"/>
        <item x="126"/>
        <item x="59"/>
        <item x="21"/>
        <item x="117"/>
        <item x="35"/>
        <item x="138"/>
        <item x="170"/>
        <item x="62"/>
        <item x="92"/>
        <item x="60"/>
        <item x="90"/>
        <item x="151"/>
        <item x="107"/>
        <item x="155"/>
        <item x="128"/>
        <item x="177"/>
        <item x="89"/>
        <item x="115"/>
        <item x="41"/>
        <item x="113"/>
        <item x="161"/>
        <item x="29"/>
        <item x="84"/>
        <item x="171"/>
        <item x="14"/>
        <item x="49"/>
        <item x="142"/>
        <item x="7"/>
        <item x="86"/>
        <item x="122"/>
        <item x="119"/>
        <item x="97"/>
        <item x="83"/>
        <item x="101"/>
        <item x="95"/>
        <item x="99"/>
        <item x="153"/>
        <item x="106"/>
        <item x="13"/>
        <item x="111"/>
        <item x="3"/>
        <item x="75"/>
        <item x="173"/>
        <item x="70"/>
        <item x="56"/>
        <item x="12"/>
        <item x="30"/>
        <item x="57"/>
        <item x="154"/>
        <item x="40"/>
        <item x="102"/>
        <item x="39"/>
        <item x="91"/>
        <item x="159"/>
        <item x="165"/>
        <item x="18"/>
        <item x="47"/>
        <item t="default"/>
      </items>
    </pivotField>
    <pivotField showAll="0">
      <items count="564">
        <item x="418"/>
        <item x="15"/>
        <item x="561"/>
        <item x="105"/>
        <item x="305"/>
        <item x="340"/>
        <item x="170"/>
        <item x="474"/>
        <item x="115"/>
        <item x="19"/>
        <item x="235"/>
        <item x="23"/>
        <item x="422"/>
        <item x="69"/>
        <item x="555"/>
        <item x="350"/>
        <item x="197"/>
        <item x="129"/>
        <item x="43"/>
        <item x="332"/>
        <item x="221"/>
        <item x="125"/>
        <item x="306"/>
        <item x="180"/>
        <item x="527"/>
        <item x="155"/>
        <item x="414"/>
        <item x="10"/>
        <item x="462"/>
        <item x="552"/>
        <item x="294"/>
        <item x="503"/>
        <item x="252"/>
        <item x="159"/>
        <item x="495"/>
        <item x="312"/>
        <item x="501"/>
        <item x="553"/>
        <item x="545"/>
        <item x="487"/>
        <item x="310"/>
        <item x="301"/>
        <item x="291"/>
        <item x="137"/>
        <item x="212"/>
        <item x="229"/>
        <item x="429"/>
        <item x="118"/>
        <item x="320"/>
        <item x="318"/>
        <item x="425"/>
        <item x="357"/>
        <item x="239"/>
        <item x="483"/>
        <item x="453"/>
        <item x="139"/>
        <item x="420"/>
        <item x="74"/>
        <item x="516"/>
        <item x="534"/>
        <item x="530"/>
        <item x="448"/>
        <item x="232"/>
        <item x="537"/>
        <item x="211"/>
        <item x="437"/>
        <item x="407"/>
        <item x="151"/>
        <item x="543"/>
        <item x="41"/>
        <item x="175"/>
        <item x="480"/>
        <item x="123"/>
        <item x="494"/>
        <item x="299"/>
        <item x="144"/>
        <item x="188"/>
        <item x="58"/>
        <item x="55"/>
        <item x="65"/>
        <item x="452"/>
        <item x="27"/>
        <item x="436"/>
        <item x="342"/>
        <item x="203"/>
        <item x="141"/>
        <item x="396"/>
        <item x="319"/>
        <item x="147"/>
        <item x="103"/>
        <item x="49"/>
        <item x="131"/>
        <item x="193"/>
        <item x="190"/>
        <item x="428"/>
        <item x="24"/>
        <item x="210"/>
        <item x="108"/>
        <item x="225"/>
        <item x="82"/>
        <item x="469"/>
        <item x="236"/>
        <item x="288"/>
        <item x="377"/>
        <item x="148"/>
        <item x="112"/>
        <item x="316"/>
        <item x="213"/>
        <item x="512"/>
        <item x="401"/>
        <item x="559"/>
        <item x="362"/>
        <item x="451"/>
        <item x="119"/>
        <item x="371"/>
        <item x="258"/>
        <item x="146"/>
        <item x="427"/>
        <item x="410"/>
        <item x="242"/>
        <item x="375"/>
        <item x="404"/>
        <item x="339"/>
        <item x="502"/>
        <item x="34"/>
        <item x="11"/>
        <item x="334"/>
        <item x="12"/>
        <item x="100"/>
        <item x="67"/>
        <item x="233"/>
        <item x="372"/>
        <item x="0"/>
        <item x="78"/>
        <item x="547"/>
        <item x="368"/>
        <item x="475"/>
        <item x="513"/>
        <item x="336"/>
        <item x="32"/>
        <item x="122"/>
        <item x="303"/>
        <item x="412"/>
        <item x="309"/>
        <item x="348"/>
        <item x="333"/>
        <item x="456"/>
        <item x="217"/>
        <item x="80"/>
        <item x="254"/>
        <item x="63"/>
        <item x="26"/>
        <item x="241"/>
        <item x="279"/>
        <item x="153"/>
        <item x="185"/>
        <item x="92"/>
        <item x="140"/>
        <item x="535"/>
        <item x="378"/>
        <item x="460"/>
        <item x="541"/>
        <item x="366"/>
        <item x="511"/>
        <item x="264"/>
        <item x="259"/>
        <item x="142"/>
        <item x="464"/>
        <item x="184"/>
        <item x="351"/>
        <item x="267"/>
        <item x="515"/>
        <item x="476"/>
        <item x="13"/>
        <item x="550"/>
        <item x="323"/>
        <item x="384"/>
        <item x="275"/>
        <item x="56"/>
        <item x="447"/>
        <item x="6"/>
        <item x="214"/>
        <item x="98"/>
        <item x="62"/>
        <item x="285"/>
        <item x="280"/>
        <item x="402"/>
        <item x="222"/>
        <item x="471"/>
        <item x="353"/>
        <item x="47"/>
        <item x="450"/>
        <item x="164"/>
        <item x="521"/>
        <item x="449"/>
        <item x="201"/>
        <item x="482"/>
        <item x="533"/>
        <item x="25"/>
        <item x="383"/>
        <item x="224"/>
        <item x="165"/>
        <item x="71"/>
        <item x="136"/>
        <item x="524"/>
        <item x="431"/>
        <item x="283"/>
        <item x="419"/>
        <item x="426"/>
        <item x="28"/>
        <item x="158"/>
        <item x="243"/>
        <item x="539"/>
        <item x="37"/>
        <item x="356"/>
        <item x="244"/>
        <item x="470"/>
        <item x="461"/>
        <item x="296"/>
        <item x="359"/>
        <item x="260"/>
        <item x="126"/>
        <item x="557"/>
        <item x="128"/>
        <item x="143"/>
        <item x="191"/>
        <item x="132"/>
        <item x="270"/>
        <item x="77"/>
        <item x="179"/>
        <item x="454"/>
        <item x="269"/>
        <item x="562"/>
        <item x="113"/>
        <item x="22"/>
        <item x="35"/>
        <item x="277"/>
        <item x="114"/>
        <item x="435"/>
        <item x="16"/>
        <item x="504"/>
        <item x="394"/>
        <item x="110"/>
        <item x="39"/>
        <item x="265"/>
        <item x="93"/>
        <item x="121"/>
        <item x="124"/>
        <item x="90"/>
        <item x="443"/>
        <item x="240"/>
        <item x="538"/>
        <item x="458"/>
        <item x="556"/>
        <item x="86"/>
        <item x="208"/>
        <item x="152"/>
        <item x="149"/>
        <item x="293"/>
        <item x="554"/>
        <item x="392"/>
        <item x="496"/>
        <item x="177"/>
        <item x="263"/>
        <item x="106"/>
        <item x="520"/>
        <item x="444"/>
        <item x="290"/>
        <item x="374"/>
        <item x="133"/>
        <item x="75"/>
        <item x="246"/>
        <item x="400"/>
        <item x="234"/>
        <item x="64"/>
        <item x="262"/>
        <item x="399"/>
        <item x="523"/>
        <item x="395"/>
        <item x="42"/>
        <item x="95"/>
        <item x="445"/>
        <item x="46"/>
        <item x="302"/>
        <item x="54"/>
        <item x="519"/>
        <item x="417"/>
        <item x="308"/>
        <item x="500"/>
        <item x="528"/>
        <item x="227"/>
        <item x="274"/>
        <item x="514"/>
        <item x="5"/>
        <item x="209"/>
        <item x="430"/>
        <item x="130"/>
        <item x="266"/>
        <item x="508"/>
        <item x="297"/>
        <item x="40"/>
        <item x="248"/>
        <item x="281"/>
        <item x="174"/>
        <item x="327"/>
        <item x="97"/>
        <item x="321"/>
        <item x="182"/>
        <item x="181"/>
        <item x="101"/>
        <item x="409"/>
        <item x="505"/>
        <item x="87"/>
        <item x="497"/>
        <item x="99"/>
        <item x="421"/>
        <item x="52"/>
        <item x="358"/>
        <item x="536"/>
        <item x="85"/>
        <item x="194"/>
        <item x="172"/>
        <item x="393"/>
        <item x="135"/>
        <item x="199"/>
        <item x="406"/>
        <item x="509"/>
        <item x="363"/>
        <item x="61"/>
        <item x="166"/>
        <item x="178"/>
        <item x="30"/>
        <item x="381"/>
        <item x="116"/>
        <item x="204"/>
        <item x="560"/>
        <item x="29"/>
        <item x="45"/>
        <item x="367"/>
        <item x="109"/>
        <item x="2"/>
        <item x="251"/>
        <item x="465"/>
        <item x="84"/>
        <item x="315"/>
        <item x="17"/>
        <item x="79"/>
        <item x="311"/>
        <item x="94"/>
        <item x="127"/>
        <item x="268"/>
        <item x="271"/>
        <item x="478"/>
        <item x="247"/>
        <item x="492"/>
        <item x="70"/>
        <item x="313"/>
        <item x="531"/>
        <item x="44"/>
        <item x="439"/>
        <item x="245"/>
        <item x="66"/>
        <item x="104"/>
        <item x="489"/>
        <item x="83"/>
        <item x="434"/>
        <item x="228"/>
        <item x="53"/>
        <item x="59"/>
        <item x="292"/>
        <item x="220"/>
        <item x="544"/>
        <item x="558"/>
        <item x="295"/>
        <item x="411"/>
        <item x="195"/>
        <item x="517"/>
        <item x="385"/>
        <item x="192"/>
        <item x="36"/>
        <item x="76"/>
        <item x="272"/>
        <item x="522"/>
        <item x="379"/>
        <item x="231"/>
        <item x="442"/>
        <item x="169"/>
        <item x="278"/>
        <item x="33"/>
        <item x="349"/>
        <item x="261"/>
        <item x="8"/>
        <item x="50"/>
        <item x="346"/>
        <item x="18"/>
        <item x="438"/>
        <item x="304"/>
        <item x="257"/>
        <item x="403"/>
        <item x="382"/>
        <item x="549"/>
        <item x="473"/>
        <item x="73"/>
        <item x="183"/>
        <item x="173"/>
        <item x="380"/>
        <item x="408"/>
        <item x="386"/>
        <item x="89"/>
        <item x="286"/>
        <item x="472"/>
        <item x="344"/>
        <item x="387"/>
        <item x="415"/>
        <item x="250"/>
        <item x="526"/>
        <item x="440"/>
        <item x="341"/>
        <item x="7"/>
        <item x="518"/>
        <item x="307"/>
        <item x="176"/>
        <item x="490"/>
        <item x="317"/>
        <item x="551"/>
        <item x="330"/>
        <item x="300"/>
        <item x="337"/>
        <item x="546"/>
        <item x="466"/>
        <item x="331"/>
        <item x="102"/>
        <item x="68"/>
        <item x="57"/>
        <item x="498"/>
        <item x="205"/>
        <item x="1"/>
        <item x="360"/>
        <item x="491"/>
        <item x="328"/>
        <item x="548"/>
        <item x="486"/>
        <item x="31"/>
        <item x="529"/>
        <item x="48"/>
        <item x="256"/>
        <item x="218"/>
        <item x="282"/>
        <item x="506"/>
        <item x="433"/>
        <item x="459"/>
        <item x="390"/>
        <item x="467"/>
        <item x="329"/>
        <item x="163"/>
        <item x="479"/>
        <item x="161"/>
        <item x="352"/>
        <item x="223"/>
        <item x="253"/>
        <item x="347"/>
        <item x="397"/>
        <item x="507"/>
        <item x="167"/>
        <item x="14"/>
        <item x="20"/>
        <item x="9"/>
        <item x="376"/>
        <item x="138"/>
        <item x="532"/>
        <item x="216"/>
        <item x="287"/>
        <item x="423"/>
        <item x="314"/>
        <item x="424"/>
        <item x="354"/>
        <item x="298"/>
        <item x="389"/>
        <item x="325"/>
        <item x="51"/>
        <item x="510"/>
        <item x="338"/>
        <item x="207"/>
        <item x="237"/>
        <item x="276"/>
        <item x="215"/>
        <item x="145"/>
        <item x="202"/>
        <item x="4"/>
        <item x="373"/>
        <item x="345"/>
        <item x="273"/>
        <item x="499"/>
        <item x="468"/>
        <item x="111"/>
        <item x="226"/>
        <item x="484"/>
        <item x="324"/>
        <item x="525"/>
        <item x="238"/>
        <item x="446"/>
        <item x="370"/>
        <item x="391"/>
        <item x="186"/>
        <item x="21"/>
        <item x="413"/>
        <item x="365"/>
        <item x="457"/>
        <item x="189"/>
        <item x="284"/>
        <item x="117"/>
        <item x="91"/>
        <item x="441"/>
        <item x="160"/>
        <item x="485"/>
        <item x="72"/>
        <item x="219"/>
        <item x="96"/>
        <item x="463"/>
        <item x="405"/>
        <item x="455"/>
        <item x="477"/>
        <item x="162"/>
        <item x="481"/>
        <item x="398"/>
        <item x="540"/>
        <item x="200"/>
        <item x="230"/>
        <item x="157"/>
        <item x="488"/>
        <item x="355"/>
        <item x="120"/>
        <item x="88"/>
        <item x="196"/>
        <item x="249"/>
        <item x="81"/>
        <item x="154"/>
        <item x="289"/>
        <item x="361"/>
        <item x="107"/>
        <item x="343"/>
        <item x="326"/>
        <item x="198"/>
        <item x="206"/>
        <item x="156"/>
        <item x="542"/>
        <item x="388"/>
        <item x="187"/>
        <item x="335"/>
        <item x="168"/>
        <item x="60"/>
        <item x="171"/>
        <item x="150"/>
        <item x="369"/>
        <item x="322"/>
        <item x="134"/>
        <item x="364"/>
        <item x="416"/>
        <item x="432"/>
        <item x="255"/>
        <item x="493"/>
        <item x="38"/>
        <item x="3"/>
        <item t="default"/>
      </items>
    </pivotField>
    <pivotField showAll="0">
      <items count="7">
        <item x="0"/>
        <item x="4"/>
        <item x="1"/>
        <item x="3"/>
        <item x="5"/>
        <item x="2"/>
        <item t="default"/>
      </items>
    </pivotField>
    <pivotField showAll="0"/>
    <pivotField showAll="0">
      <items count="4">
        <item x="2"/>
        <item x="0"/>
        <item x="1"/>
        <item t="default"/>
      </items>
    </pivotField>
    <pivotField showAll="0">
      <items count="5">
        <item x="3"/>
        <item x="2"/>
        <item x="1"/>
        <item x="0"/>
        <item t="default"/>
      </items>
    </pivotField>
    <pivotField axis="axisPage" showAll="0">
      <items count="12">
        <item x="6"/>
        <item x="9"/>
        <item x="0"/>
        <item x="4"/>
        <item x="8"/>
        <item x="7"/>
        <item x="2"/>
        <item x="3"/>
        <item x="1"/>
        <item x="5"/>
        <item x="10"/>
        <item t="default"/>
      </items>
    </pivotField>
    <pivotField dataField="1" showAll="0"/>
    <pivotField dataField="1" showAll="0"/>
    <pivotField dataField="1" showAll="0"/>
  </pivotFields>
  <rowItems count="1">
    <i/>
  </rowItems>
  <colFields count="1">
    <field x="-2"/>
  </colFields>
  <colItems count="3">
    <i>
      <x/>
    </i>
    <i i="1">
      <x v="1"/>
    </i>
    <i i="2">
      <x v="2"/>
    </i>
  </colItems>
  <pageFields count="1">
    <pageField fld="7" hier="-1"/>
  </pageFields>
  <dataFields count="3">
    <dataField name="Sum of Unit Price" fld="9" baseField="0" baseItem="0"/>
    <dataField name="Sum of Quantity" fld="8" baseField="0" baseItem="0"/>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C3E2F3-1AF9-4AE5-A623-99E8AC09DA96}"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Q7:T23" firstHeaderRow="0" firstDataRow="1" firstDataCol="1"/>
  <pivotFields count="11">
    <pivotField showAll="0"/>
    <pivotField showAll="0">
      <items count="181">
        <item x="135"/>
        <item x="150"/>
        <item x="53"/>
        <item x="43"/>
        <item x="55"/>
        <item x="120"/>
        <item x="71"/>
        <item x="79"/>
        <item x="26"/>
        <item x="127"/>
        <item x="169"/>
        <item x="156"/>
        <item x="176"/>
        <item x="110"/>
        <item x="1"/>
        <item x="164"/>
        <item x="0"/>
        <item x="82"/>
        <item x="68"/>
        <item x="144"/>
        <item x="61"/>
        <item x="108"/>
        <item x="17"/>
        <item x="157"/>
        <item x="52"/>
        <item x="16"/>
        <item x="147"/>
        <item x="94"/>
        <item x="145"/>
        <item x="66"/>
        <item x="167"/>
        <item x="20"/>
        <item x="129"/>
        <item x="105"/>
        <item x="50"/>
        <item x="103"/>
        <item x="15"/>
        <item x="139"/>
        <item x="5"/>
        <item x="38"/>
        <item x="73"/>
        <item x="87"/>
        <item x="137"/>
        <item x="24"/>
        <item x="143"/>
        <item x="76"/>
        <item x="114"/>
        <item x="85"/>
        <item x="146"/>
        <item x="93"/>
        <item x="163"/>
        <item x="109"/>
        <item x="6"/>
        <item x="78"/>
        <item x="152"/>
        <item x="116"/>
        <item x="172"/>
        <item x="31"/>
        <item x="11"/>
        <item x="136"/>
        <item x="37"/>
        <item x="98"/>
        <item x="46"/>
        <item x="36"/>
        <item x="118"/>
        <item x="54"/>
        <item x="166"/>
        <item x="160"/>
        <item x="25"/>
        <item x="22"/>
        <item x="44"/>
        <item x="45"/>
        <item x="112"/>
        <item x="51"/>
        <item x="178"/>
        <item x="34"/>
        <item x="27"/>
        <item x="64"/>
        <item x="32"/>
        <item x="23"/>
        <item x="132"/>
        <item x="149"/>
        <item x="162"/>
        <item x="100"/>
        <item x="158"/>
        <item x="125"/>
        <item x="42"/>
        <item x="123"/>
        <item x="2"/>
        <item x="63"/>
        <item x="175"/>
        <item x="10"/>
        <item x="4"/>
        <item x="9"/>
        <item x="88"/>
        <item x="104"/>
        <item x="8"/>
        <item x="33"/>
        <item x="140"/>
        <item x="141"/>
        <item x="124"/>
        <item x="174"/>
        <item x="28"/>
        <item x="69"/>
        <item x="58"/>
        <item x="80"/>
        <item x="131"/>
        <item x="96"/>
        <item x="77"/>
        <item x="134"/>
        <item x="133"/>
        <item x="168"/>
        <item x="48"/>
        <item x="148"/>
        <item x="67"/>
        <item x="121"/>
        <item x="74"/>
        <item x="19"/>
        <item x="81"/>
        <item x="130"/>
        <item x="72"/>
        <item x="65"/>
        <item x="179"/>
        <item x="126"/>
        <item x="59"/>
        <item x="21"/>
        <item x="117"/>
        <item x="35"/>
        <item x="138"/>
        <item x="170"/>
        <item x="62"/>
        <item x="92"/>
        <item x="60"/>
        <item x="90"/>
        <item x="151"/>
        <item x="107"/>
        <item x="155"/>
        <item x="128"/>
        <item x="177"/>
        <item x="89"/>
        <item x="115"/>
        <item x="41"/>
        <item x="113"/>
        <item x="161"/>
        <item x="29"/>
        <item x="84"/>
        <item x="171"/>
        <item x="14"/>
        <item x="49"/>
        <item x="142"/>
        <item x="7"/>
        <item x="86"/>
        <item x="122"/>
        <item x="119"/>
        <item x="97"/>
        <item x="83"/>
        <item x="101"/>
        <item x="95"/>
        <item x="99"/>
        <item x="153"/>
        <item x="106"/>
        <item x="13"/>
        <item x="111"/>
        <item x="3"/>
        <item x="75"/>
        <item x="173"/>
        <item x="70"/>
        <item x="56"/>
        <item x="12"/>
        <item x="30"/>
        <item x="57"/>
        <item x="154"/>
        <item x="40"/>
        <item x="102"/>
        <item x="39"/>
        <item x="91"/>
        <item x="159"/>
        <item x="165"/>
        <item x="18"/>
        <item x="47"/>
        <item t="default"/>
      </items>
    </pivotField>
    <pivotField showAll="0">
      <items count="564">
        <item x="418"/>
        <item x="15"/>
        <item x="561"/>
        <item x="105"/>
        <item x="305"/>
        <item x="340"/>
        <item x="170"/>
        <item x="474"/>
        <item x="115"/>
        <item x="19"/>
        <item x="235"/>
        <item x="23"/>
        <item x="422"/>
        <item x="69"/>
        <item x="555"/>
        <item x="350"/>
        <item x="197"/>
        <item x="129"/>
        <item x="43"/>
        <item x="332"/>
        <item x="221"/>
        <item x="125"/>
        <item x="306"/>
        <item x="180"/>
        <item x="527"/>
        <item x="155"/>
        <item x="414"/>
        <item x="10"/>
        <item x="462"/>
        <item x="552"/>
        <item x="294"/>
        <item x="503"/>
        <item x="252"/>
        <item x="159"/>
        <item x="495"/>
        <item x="312"/>
        <item x="501"/>
        <item x="553"/>
        <item x="545"/>
        <item x="487"/>
        <item x="310"/>
        <item x="301"/>
        <item x="291"/>
        <item x="137"/>
        <item x="212"/>
        <item x="229"/>
        <item x="429"/>
        <item x="118"/>
        <item x="320"/>
        <item x="318"/>
        <item x="425"/>
        <item x="357"/>
        <item x="239"/>
        <item x="483"/>
        <item x="453"/>
        <item x="139"/>
        <item x="420"/>
        <item x="74"/>
        <item x="516"/>
        <item x="534"/>
        <item x="530"/>
        <item x="448"/>
        <item x="232"/>
        <item x="537"/>
        <item x="211"/>
        <item x="437"/>
        <item x="407"/>
        <item x="151"/>
        <item x="543"/>
        <item x="41"/>
        <item x="175"/>
        <item x="480"/>
        <item x="123"/>
        <item x="494"/>
        <item x="299"/>
        <item x="144"/>
        <item x="188"/>
        <item x="58"/>
        <item x="55"/>
        <item x="65"/>
        <item x="452"/>
        <item x="27"/>
        <item x="436"/>
        <item x="342"/>
        <item x="203"/>
        <item x="141"/>
        <item x="396"/>
        <item x="319"/>
        <item x="147"/>
        <item x="103"/>
        <item x="49"/>
        <item x="131"/>
        <item x="193"/>
        <item x="190"/>
        <item x="428"/>
        <item x="24"/>
        <item x="210"/>
        <item x="108"/>
        <item x="225"/>
        <item x="82"/>
        <item x="469"/>
        <item x="236"/>
        <item x="288"/>
        <item x="377"/>
        <item x="148"/>
        <item x="112"/>
        <item x="316"/>
        <item x="213"/>
        <item x="512"/>
        <item x="401"/>
        <item x="559"/>
        <item x="362"/>
        <item x="451"/>
        <item x="119"/>
        <item x="371"/>
        <item x="258"/>
        <item x="146"/>
        <item x="427"/>
        <item x="410"/>
        <item x="242"/>
        <item x="375"/>
        <item x="404"/>
        <item x="339"/>
        <item x="502"/>
        <item x="34"/>
        <item x="11"/>
        <item x="334"/>
        <item x="12"/>
        <item x="100"/>
        <item x="67"/>
        <item x="233"/>
        <item x="372"/>
        <item x="0"/>
        <item x="78"/>
        <item x="547"/>
        <item x="368"/>
        <item x="475"/>
        <item x="513"/>
        <item x="336"/>
        <item x="32"/>
        <item x="122"/>
        <item x="303"/>
        <item x="412"/>
        <item x="309"/>
        <item x="348"/>
        <item x="333"/>
        <item x="456"/>
        <item x="217"/>
        <item x="80"/>
        <item x="254"/>
        <item x="63"/>
        <item x="26"/>
        <item x="241"/>
        <item x="279"/>
        <item x="153"/>
        <item x="185"/>
        <item x="92"/>
        <item x="140"/>
        <item x="535"/>
        <item x="378"/>
        <item x="460"/>
        <item x="541"/>
        <item x="366"/>
        <item x="511"/>
        <item x="264"/>
        <item x="259"/>
        <item x="142"/>
        <item x="464"/>
        <item x="184"/>
        <item x="351"/>
        <item x="267"/>
        <item x="515"/>
        <item x="476"/>
        <item x="13"/>
        <item x="550"/>
        <item x="323"/>
        <item x="384"/>
        <item x="275"/>
        <item x="56"/>
        <item x="447"/>
        <item x="6"/>
        <item x="214"/>
        <item x="98"/>
        <item x="62"/>
        <item x="285"/>
        <item x="280"/>
        <item x="402"/>
        <item x="222"/>
        <item x="471"/>
        <item x="353"/>
        <item x="47"/>
        <item x="450"/>
        <item x="164"/>
        <item x="521"/>
        <item x="449"/>
        <item x="201"/>
        <item x="482"/>
        <item x="533"/>
        <item x="25"/>
        <item x="383"/>
        <item x="224"/>
        <item x="165"/>
        <item x="71"/>
        <item x="136"/>
        <item x="524"/>
        <item x="431"/>
        <item x="283"/>
        <item x="419"/>
        <item x="426"/>
        <item x="28"/>
        <item x="158"/>
        <item x="243"/>
        <item x="539"/>
        <item x="37"/>
        <item x="356"/>
        <item x="244"/>
        <item x="470"/>
        <item x="461"/>
        <item x="296"/>
        <item x="359"/>
        <item x="260"/>
        <item x="126"/>
        <item x="557"/>
        <item x="128"/>
        <item x="143"/>
        <item x="191"/>
        <item x="132"/>
        <item x="270"/>
        <item x="77"/>
        <item x="179"/>
        <item x="454"/>
        <item x="269"/>
        <item x="562"/>
        <item x="113"/>
        <item x="22"/>
        <item x="35"/>
        <item x="277"/>
        <item x="114"/>
        <item x="435"/>
        <item x="16"/>
        <item x="504"/>
        <item x="394"/>
        <item x="110"/>
        <item x="39"/>
        <item x="265"/>
        <item x="93"/>
        <item x="121"/>
        <item x="124"/>
        <item x="90"/>
        <item x="443"/>
        <item x="240"/>
        <item x="538"/>
        <item x="458"/>
        <item x="556"/>
        <item x="86"/>
        <item x="208"/>
        <item x="152"/>
        <item x="149"/>
        <item x="293"/>
        <item x="554"/>
        <item x="392"/>
        <item x="496"/>
        <item x="177"/>
        <item x="263"/>
        <item x="106"/>
        <item x="520"/>
        <item x="444"/>
        <item x="290"/>
        <item x="374"/>
        <item x="133"/>
        <item x="75"/>
        <item x="246"/>
        <item x="400"/>
        <item x="234"/>
        <item x="64"/>
        <item x="262"/>
        <item x="399"/>
        <item x="523"/>
        <item x="395"/>
        <item x="42"/>
        <item x="95"/>
        <item x="445"/>
        <item x="46"/>
        <item x="302"/>
        <item x="54"/>
        <item x="519"/>
        <item x="417"/>
        <item x="308"/>
        <item x="500"/>
        <item x="528"/>
        <item x="227"/>
        <item x="274"/>
        <item x="514"/>
        <item x="5"/>
        <item x="209"/>
        <item x="430"/>
        <item x="130"/>
        <item x="266"/>
        <item x="508"/>
        <item x="297"/>
        <item x="40"/>
        <item x="248"/>
        <item x="281"/>
        <item x="174"/>
        <item x="327"/>
        <item x="97"/>
        <item x="321"/>
        <item x="182"/>
        <item x="181"/>
        <item x="101"/>
        <item x="409"/>
        <item x="505"/>
        <item x="87"/>
        <item x="497"/>
        <item x="99"/>
        <item x="421"/>
        <item x="52"/>
        <item x="358"/>
        <item x="536"/>
        <item x="85"/>
        <item x="194"/>
        <item x="172"/>
        <item x="393"/>
        <item x="135"/>
        <item x="199"/>
        <item x="406"/>
        <item x="509"/>
        <item x="363"/>
        <item x="61"/>
        <item x="166"/>
        <item x="178"/>
        <item x="30"/>
        <item x="381"/>
        <item x="116"/>
        <item x="204"/>
        <item x="560"/>
        <item x="29"/>
        <item x="45"/>
        <item x="367"/>
        <item x="109"/>
        <item x="2"/>
        <item x="251"/>
        <item x="465"/>
        <item x="84"/>
        <item x="315"/>
        <item x="17"/>
        <item x="79"/>
        <item x="311"/>
        <item x="94"/>
        <item x="127"/>
        <item x="268"/>
        <item x="271"/>
        <item x="478"/>
        <item x="247"/>
        <item x="492"/>
        <item x="70"/>
        <item x="313"/>
        <item x="531"/>
        <item x="44"/>
        <item x="439"/>
        <item x="245"/>
        <item x="66"/>
        <item x="104"/>
        <item x="489"/>
        <item x="83"/>
        <item x="434"/>
        <item x="228"/>
        <item x="53"/>
        <item x="59"/>
        <item x="292"/>
        <item x="220"/>
        <item x="544"/>
        <item x="558"/>
        <item x="295"/>
        <item x="411"/>
        <item x="195"/>
        <item x="517"/>
        <item x="385"/>
        <item x="192"/>
        <item x="36"/>
        <item x="76"/>
        <item x="272"/>
        <item x="522"/>
        <item x="379"/>
        <item x="231"/>
        <item x="442"/>
        <item x="169"/>
        <item x="278"/>
        <item x="33"/>
        <item x="349"/>
        <item x="261"/>
        <item x="8"/>
        <item x="50"/>
        <item x="346"/>
        <item x="18"/>
        <item x="438"/>
        <item x="304"/>
        <item x="257"/>
        <item x="403"/>
        <item x="382"/>
        <item x="549"/>
        <item x="473"/>
        <item x="73"/>
        <item x="183"/>
        <item x="173"/>
        <item x="380"/>
        <item x="408"/>
        <item x="386"/>
        <item x="89"/>
        <item x="286"/>
        <item x="472"/>
        <item x="344"/>
        <item x="387"/>
        <item x="415"/>
        <item x="250"/>
        <item x="526"/>
        <item x="440"/>
        <item x="341"/>
        <item x="7"/>
        <item x="518"/>
        <item x="307"/>
        <item x="176"/>
        <item x="490"/>
        <item x="317"/>
        <item x="551"/>
        <item x="330"/>
        <item x="300"/>
        <item x="337"/>
        <item x="546"/>
        <item x="466"/>
        <item x="331"/>
        <item x="102"/>
        <item x="68"/>
        <item x="57"/>
        <item x="498"/>
        <item x="205"/>
        <item x="1"/>
        <item x="360"/>
        <item x="491"/>
        <item x="328"/>
        <item x="548"/>
        <item x="486"/>
        <item x="31"/>
        <item x="529"/>
        <item x="48"/>
        <item x="256"/>
        <item x="218"/>
        <item x="282"/>
        <item x="506"/>
        <item x="433"/>
        <item x="459"/>
        <item x="390"/>
        <item x="467"/>
        <item x="329"/>
        <item x="163"/>
        <item x="479"/>
        <item x="161"/>
        <item x="352"/>
        <item x="223"/>
        <item x="253"/>
        <item x="347"/>
        <item x="397"/>
        <item x="507"/>
        <item x="167"/>
        <item x="14"/>
        <item x="20"/>
        <item x="9"/>
        <item x="376"/>
        <item x="138"/>
        <item x="532"/>
        <item x="216"/>
        <item x="287"/>
        <item x="423"/>
        <item x="314"/>
        <item x="424"/>
        <item x="354"/>
        <item x="298"/>
        <item x="389"/>
        <item x="325"/>
        <item x="51"/>
        <item x="510"/>
        <item x="338"/>
        <item x="207"/>
        <item x="237"/>
        <item x="276"/>
        <item x="215"/>
        <item x="145"/>
        <item x="202"/>
        <item x="4"/>
        <item x="373"/>
        <item x="345"/>
        <item x="273"/>
        <item x="499"/>
        <item x="468"/>
        <item x="111"/>
        <item x="226"/>
        <item x="484"/>
        <item x="324"/>
        <item x="525"/>
        <item x="238"/>
        <item x="446"/>
        <item x="370"/>
        <item x="391"/>
        <item x="186"/>
        <item x="21"/>
        <item x="413"/>
        <item x="365"/>
        <item x="457"/>
        <item x="189"/>
        <item x="284"/>
        <item x="117"/>
        <item x="91"/>
        <item x="441"/>
        <item x="160"/>
        <item x="485"/>
        <item x="72"/>
        <item x="219"/>
        <item x="96"/>
        <item x="463"/>
        <item x="405"/>
        <item x="455"/>
        <item x="477"/>
        <item x="162"/>
        <item x="481"/>
        <item x="398"/>
        <item x="540"/>
        <item x="200"/>
        <item x="230"/>
        <item x="157"/>
        <item x="488"/>
        <item x="355"/>
        <item x="120"/>
        <item x="88"/>
        <item x="196"/>
        <item x="249"/>
        <item x="81"/>
        <item x="154"/>
        <item x="289"/>
        <item x="361"/>
        <item x="107"/>
        <item x="343"/>
        <item x="326"/>
        <item x="198"/>
        <item x="206"/>
        <item x="156"/>
        <item x="542"/>
        <item x="388"/>
        <item x="187"/>
        <item x="335"/>
        <item x="168"/>
        <item x="60"/>
        <item x="171"/>
        <item x="150"/>
        <item x="369"/>
        <item x="322"/>
        <item x="134"/>
        <item x="364"/>
        <item x="416"/>
        <item x="432"/>
        <item x="255"/>
        <item x="493"/>
        <item x="38"/>
        <item x="3"/>
        <item t="default"/>
      </items>
    </pivotField>
    <pivotField showAll="0">
      <items count="7">
        <item x="0"/>
        <item x="4"/>
        <item x="1"/>
        <item x="3"/>
        <item x="5"/>
        <item x="2"/>
        <item t="default"/>
      </items>
    </pivotField>
    <pivotField showAll="0"/>
    <pivotField axis="axisRow" showAll="0">
      <items count="4">
        <item x="2"/>
        <item x="0"/>
        <item x="1"/>
        <item t="default"/>
      </items>
    </pivotField>
    <pivotField axis="axisRow" showAll="0">
      <items count="5">
        <item x="3"/>
        <item x="2"/>
        <item x="1"/>
        <item x="0"/>
        <item t="default"/>
      </items>
    </pivotField>
    <pivotField showAll="0">
      <items count="12">
        <item x="6"/>
        <item x="9"/>
        <item x="0"/>
        <item x="4"/>
        <item x="8"/>
        <item x="7"/>
        <item x="2"/>
        <item x="3"/>
        <item x="1"/>
        <item x="5"/>
        <item x="10"/>
        <item t="default"/>
      </items>
    </pivotField>
    <pivotField dataField="1" showAll="0"/>
    <pivotField dataField="1" showAll="0"/>
    <pivotField dataField="1" showAll="0"/>
  </pivotFields>
  <rowFields count="2">
    <field x="5"/>
    <field x="6"/>
  </rowFields>
  <rowItems count="16">
    <i>
      <x/>
    </i>
    <i r="1">
      <x/>
    </i>
    <i r="1">
      <x v="1"/>
    </i>
    <i r="1">
      <x v="2"/>
    </i>
    <i r="1">
      <x v="3"/>
    </i>
    <i>
      <x v="1"/>
    </i>
    <i r="1">
      <x/>
    </i>
    <i r="1">
      <x v="1"/>
    </i>
    <i r="1">
      <x v="2"/>
    </i>
    <i r="1">
      <x v="3"/>
    </i>
    <i>
      <x v="2"/>
    </i>
    <i r="1">
      <x/>
    </i>
    <i r="1">
      <x v="1"/>
    </i>
    <i r="1">
      <x v="2"/>
    </i>
    <i r="1">
      <x v="3"/>
    </i>
    <i t="grand">
      <x/>
    </i>
  </rowItems>
  <colFields count="1">
    <field x="-2"/>
  </colFields>
  <colItems count="3">
    <i>
      <x/>
    </i>
    <i i="1">
      <x v="1"/>
    </i>
    <i i="2">
      <x v="2"/>
    </i>
  </colItems>
  <dataFields count="3">
    <dataField name="Sum of Quantity" fld="8" baseField="0" baseItem="0"/>
    <dataField name="Sum of Total Sales" fld="10" baseField="0" baseItem="0"/>
    <dataField name="Sum of Unit Price" fld="9" baseField="0" baseItem="0"/>
  </dataFields>
  <chartFormats count="4">
    <chartFormat chart="15" format="1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5" format="12"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1"/>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E885828-A3B6-49E5-8F2B-BBDBCD4B005C}" sourceName="Month">
  <pivotTables>
    <pivotTable tabId="4" name="PivotTable1"/>
    <pivotTable tabId="4" name="PivotTable2"/>
    <pivotTable tabId="4" name="PivotTable3"/>
    <pivotTable tabId="4" name="PivotTable4"/>
    <pivotTable tabId="4" name="PivotTable5"/>
    <pivotTable tabId="4" name="PivotTable6"/>
    <pivotTable tabId="4" name="PivotTable7"/>
    <pivotTable tabId="2" name="PivotTable8"/>
    <pivotTable tabId="4" name="PivotTable9"/>
    <pivotTable tabId="4" name="PivotTable8"/>
    <pivotTable tabId="4" name="PivotTable10"/>
  </pivotTables>
  <data>
    <tabular pivotCacheId="964139029">
      <items count="6">
        <i x="0" s="1"/>
        <i x="4" s="1"/>
        <i x="1" s="1"/>
        <i x="3"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05AE87B0-7407-4265-B4C3-0B41C67F8EEA}" sourceName="Store Location">
  <pivotTables>
    <pivotTable tabId="4" name="PivotTable1"/>
    <pivotTable tabId="4" name="PivotTable2"/>
    <pivotTable tabId="4" name="PivotTable3"/>
    <pivotTable tabId="4" name="PivotTable4"/>
    <pivotTable tabId="4" name="PivotTable5"/>
    <pivotTable tabId="4" name="PivotTable6"/>
    <pivotTable tabId="4" name="PivotTable7"/>
    <pivotTable tabId="2" name="PivotTable8"/>
    <pivotTable tabId="4" name="PivotTable9"/>
    <pivotTable tabId="4" name="PivotTable8"/>
    <pivotTable tabId="4" name="PivotTable10"/>
  </pivotTables>
  <data>
    <tabular pivotCacheId="96413902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720E353-115B-4029-9C38-EB0CD4920F4E}" sourceName="Product Name">
  <pivotTables>
    <pivotTable tabId="4" name="PivotTable2"/>
    <pivotTable tabId="4" name="PivotTable3"/>
    <pivotTable tabId="4" name="PivotTable4"/>
    <pivotTable tabId="4" name="PivotTable5"/>
    <pivotTable tabId="4" name="PivotTable6"/>
    <pivotTable tabId="4" name="PivotTable7"/>
    <pivotTable tabId="2" name="PivotTable8"/>
    <pivotTable tabId="4" name="PivotTable9"/>
    <pivotTable tabId="4" name="PivotTable8"/>
    <pivotTable tabId="4" name="PivotTable10"/>
  </pivotTables>
  <data>
    <tabular pivotCacheId="964139029">
      <items count="11">
        <i x="6" s="1"/>
        <i x="9" s="1"/>
        <i x="0" s="1"/>
        <i x="4" s="1"/>
        <i x="8" s="1"/>
        <i x="7" s="1"/>
        <i x="2" s="1"/>
        <i x="3" s="1"/>
        <i x="1" s="1"/>
        <i x="5"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AB2DF91-1ACF-4E90-AE49-94D63557AEED}" cache="Slicer_Month" caption="Month" style="SlicerStyleLight6" rowHeight="234950"/>
  <slicer name="Store Location" xr10:uid="{9BD31291-9B2C-419D-A3C4-88A902C18710}" cache="Slicer_Store_Location" caption="Store Location" rowHeight="234950"/>
  <slicer name="Product Name" xr10:uid="{2E15BF8D-1BDA-439D-A657-85DE258E0D46}" cache="Slicer_Product_Name" caption="Product 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CFBE1129-460E-41D0-A341-A8F92990C271}" cache="Slicer_Month" caption="Month" style="Slicer Style 6" rowHeight="234950"/>
  <slicer name="Store Location 1" xr10:uid="{1117408E-04A3-498E-A7D2-3D3238F13D83}" cache="Slicer_Store_Location" caption="Store Location" style="Slicer Style 5" rowHeight="234950"/>
  <slicer name="Product Name 1" xr10:uid="{391168B5-F144-4842-92CE-CB680A20E74E}" cache="Slicer_Product_Name" caption="Product Name" style="Slicer Style 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76E98-FAF4-481E-BBBD-A1BCA8C3FEA1}">
  <dimension ref="A3:AF55"/>
  <sheetViews>
    <sheetView topLeftCell="V42" workbookViewId="0">
      <selection activeCell="AC54" sqref="AC54"/>
    </sheetView>
  </sheetViews>
  <sheetFormatPr defaultRowHeight="14.4" x14ac:dyDescent="0.3"/>
  <cols>
    <col min="1" max="2" width="16.44140625" bestFit="1" customWidth="1"/>
    <col min="6" max="6" width="12.77734375" bestFit="1" customWidth="1"/>
    <col min="7" max="8" width="14.88671875" bestFit="1" customWidth="1"/>
    <col min="10" max="10" width="20.5546875" bestFit="1" customWidth="1"/>
    <col min="11" max="13" width="16.44140625" bestFit="1" customWidth="1"/>
    <col min="14" max="14" width="12.77734375" bestFit="1" customWidth="1"/>
    <col min="15" max="15" width="15.6640625" bestFit="1" customWidth="1"/>
    <col min="16" max="16" width="12.77734375" bestFit="1" customWidth="1"/>
    <col min="17" max="17" width="15.6640625" bestFit="1" customWidth="1"/>
    <col min="22" max="22" width="20.5546875" bestFit="1" customWidth="1"/>
    <col min="23" max="23" width="14.88671875" bestFit="1" customWidth="1"/>
    <col min="24" max="24" width="16.44140625" bestFit="1" customWidth="1"/>
    <col min="25" max="25" width="12.5546875" bestFit="1" customWidth="1"/>
    <col min="26" max="26" width="16.44140625" bestFit="1" customWidth="1"/>
    <col min="27" max="27" width="14.88671875" bestFit="1" customWidth="1"/>
    <col min="28" max="28" width="21.109375" bestFit="1" customWidth="1"/>
    <col min="29" max="29" width="19.6640625" bestFit="1" customWidth="1"/>
    <col min="30" max="30" width="14.88671875" bestFit="1" customWidth="1"/>
  </cols>
  <sheetData>
    <row r="3" spans="1:7" x14ac:dyDescent="0.3">
      <c r="A3" t="s">
        <v>784</v>
      </c>
      <c r="F3" s="6" t="s">
        <v>785</v>
      </c>
      <c r="G3" t="s">
        <v>787</v>
      </c>
    </row>
    <row r="4" spans="1:7" x14ac:dyDescent="0.3">
      <c r="A4" s="10">
        <v>11936.630000000001</v>
      </c>
      <c r="F4" s="7" t="s">
        <v>57</v>
      </c>
      <c r="G4" s="10">
        <v>159</v>
      </c>
    </row>
    <row r="5" spans="1:7" x14ac:dyDescent="0.3">
      <c r="F5" s="7" t="s">
        <v>90</v>
      </c>
      <c r="G5" s="10">
        <v>211</v>
      </c>
    </row>
    <row r="6" spans="1:7" x14ac:dyDescent="0.3">
      <c r="F6" s="7" t="s">
        <v>17</v>
      </c>
      <c r="G6" s="10">
        <v>275</v>
      </c>
    </row>
    <row r="7" spans="1:7" x14ac:dyDescent="0.3">
      <c r="F7" s="7" t="s">
        <v>43</v>
      </c>
      <c r="G7" s="10">
        <v>189</v>
      </c>
    </row>
    <row r="8" spans="1:7" x14ac:dyDescent="0.3">
      <c r="F8" s="7" t="s">
        <v>76</v>
      </c>
      <c r="G8" s="10">
        <v>269</v>
      </c>
    </row>
    <row r="9" spans="1:7" x14ac:dyDescent="0.3">
      <c r="F9" s="7" t="s">
        <v>71</v>
      </c>
      <c r="G9" s="10">
        <v>277</v>
      </c>
    </row>
    <row r="10" spans="1:7" x14ac:dyDescent="0.3">
      <c r="F10" s="7" t="s">
        <v>30</v>
      </c>
      <c r="G10" s="10">
        <v>219</v>
      </c>
    </row>
    <row r="11" spans="1:7" x14ac:dyDescent="0.3">
      <c r="F11" s="7" t="s">
        <v>35</v>
      </c>
      <c r="G11" s="10">
        <v>261</v>
      </c>
    </row>
    <row r="12" spans="1:7" x14ac:dyDescent="0.3">
      <c r="F12" s="7" t="s">
        <v>23</v>
      </c>
      <c r="G12" s="10">
        <v>679</v>
      </c>
    </row>
    <row r="13" spans="1:7" x14ac:dyDescent="0.3">
      <c r="F13" s="7" t="s">
        <v>52</v>
      </c>
      <c r="G13" s="10">
        <v>182</v>
      </c>
    </row>
    <row r="14" spans="1:7" x14ac:dyDescent="0.3">
      <c r="F14" s="7" t="s">
        <v>95</v>
      </c>
      <c r="G14" s="10">
        <v>273</v>
      </c>
    </row>
    <row r="15" spans="1:7" x14ac:dyDescent="0.3">
      <c r="F15" s="7" t="s">
        <v>786</v>
      </c>
      <c r="G15" s="10">
        <v>2994</v>
      </c>
    </row>
    <row r="17" spans="10:32" x14ac:dyDescent="0.3">
      <c r="M17" s="6" t="s">
        <v>785</v>
      </c>
      <c r="N17" t="s">
        <v>787</v>
      </c>
      <c r="O17" t="s">
        <v>784</v>
      </c>
    </row>
    <row r="18" spans="10:32" x14ac:dyDescent="0.3">
      <c r="J18" s="6" t="s">
        <v>785</v>
      </c>
      <c r="K18" t="s">
        <v>784</v>
      </c>
      <c r="M18" s="7" t="s">
        <v>70</v>
      </c>
      <c r="N18" s="10">
        <v>761</v>
      </c>
      <c r="O18" s="10">
        <v>3066.2399999999993</v>
      </c>
    </row>
    <row r="19" spans="10:32" x14ac:dyDescent="0.3">
      <c r="J19" s="7" t="s">
        <v>28</v>
      </c>
      <c r="K19" s="10">
        <v>4074.1199999999994</v>
      </c>
      <c r="M19" s="7" t="s">
        <v>29</v>
      </c>
      <c r="N19" s="10">
        <v>749</v>
      </c>
      <c r="O19" s="10">
        <v>2989.69</v>
      </c>
    </row>
    <row r="20" spans="10:32" x14ac:dyDescent="0.3">
      <c r="J20" s="8" t="s">
        <v>70</v>
      </c>
      <c r="K20" s="10">
        <v>1033.6299999999997</v>
      </c>
      <c r="M20" s="7" t="s">
        <v>22</v>
      </c>
      <c r="N20" s="10">
        <v>679</v>
      </c>
      <c r="O20" s="10">
        <v>2729.7199999999989</v>
      </c>
    </row>
    <row r="21" spans="10:32" x14ac:dyDescent="0.3">
      <c r="J21" s="8" t="s">
        <v>29</v>
      </c>
      <c r="K21" s="10">
        <v>1078.8799999999999</v>
      </c>
      <c r="M21" s="7" t="s">
        <v>16</v>
      </c>
      <c r="N21" s="10">
        <v>805</v>
      </c>
      <c r="O21" s="10">
        <v>3150.9800000000009</v>
      </c>
    </row>
    <row r="22" spans="10:32" x14ac:dyDescent="0.3">
      <c r="J22" s="8" t="s">
        <v>22</v>
      </c>
      <c r="K22" s="10">
        <v>984.19000000000017</v>
      </c>
      <c r="M22" s="7" t="s">
        <v>786</v>
      </c>
      <c r="N22" s="10">
        <v>2994</v>
      </c>
      <c r="O22" s="10">
        <v>11936.63</v>
      </c>
      <c r="V22" s="6" t="s">
        <v>785</v>
      </c>
      <c r="W22" t="s">
        <v>787</v>
      </c>
      <c r="X22" t="s">
        <v>784</v>
      </c>
      <c r="Z22" s="6" t="s">
        <v>7</v>
      </c>
      <c r="AA22" t="s">
        <v>789</v>
      </c>
    </row>
    <row r="23" spans="10:32" x14ac:dyDescent="0.3">
      <c r="J23" s="8" t="s">
        <v>16</v>
      </c>
      <c r="K23" s="10">
        <v>977.42</v>
      </c>
      <c r="V23" s="7" t="s">
        <v>28</v>
      </c>
      <c r="W23" s="10">
        <v>1010</v>
      </c>
      <c r="X23" s="10">
        <v>4074.1199999999994</v>
      </c>
    </row>
    <row r="24" spans="10:32" x14ac:dyDescent="0.3">
      <c r="J24" s="7" t="s">
        <v>15</v>
      </c>
      <c r="K24" s="10">
        <v>3742.2300000000005</v>
      </c>
      <c r="V24" s="8" t="s">
        <v>70</v>
      </c>
      <c r="W24" s="10">
        <v>245</v>
      </c>
      <c r="X24" s="10">
        <v>1033.6299999999997</v>
      </c>
      <c r="Z24" t="s">
        <v>788</v>
      </c>
      <c r="AA24" t="s">
        <v>787</v>
      </c>
      <c r="AB24" t="s">
        <v>784</v>
      </c>
    </row>
    <row r="25" spans="10:32" x14ac:dyDescent="0.3">
      <c r="J25" s="8" t="s">
        <v>70</v>
      </c>
      <c r="K25" s="10">
        <v>812.04000000000019</v>
      </c>
      <c r="P25" s="6" t="s">
        <v>785</v>
      </c>
      <c r="Q25" t="s">
        <v>788</v>
      </c>
      <c r="V25" s="8" t="s">
        <v>29</v>
      </c>
      <c r="W25" s="10">
        <v>274</v>
      </c>
      <c r="X25" s="10">
        <v>1078.8799999999999</v>
      </c>
      <c r="Z25" s="10">
        <v>4001.2799999999984</v>
      </c>
      <c r="AA25" s="10">
        <v>2994</v>
      </c>
      <c r="AB25" s="10">
        <v>11936.630000000001</v>
      </c>
    </row>
    <row r="26" spans="10:32" x14ac:dyDescent="0.3">
      <c r="J26" s="8" t="s">
        <v>29</v>
      </c>
      <c r="K26" s="10">
        <v>923.87000000000012</v>
      </c>
      <c r="P26" s="7" t="s">
        <v>57</v>
      </c>
      <c r="Q26" s="10">
        <v>228.23999999999995</v>
      </c>
      <c r="V26" s="8" t="s">
        <v>22</v>
      </c>
      <c r="W26" s="10">
        <v>246</v>
      </c>
      <c r="X26" s="10">
        <v>984.19000000000017</v>
      </c>
    </row>
    <row r="27" spans="10:32" x14ac:dyDescent="0.3">
      <c r="J27" s="8" t="s">
        <v>22</v>
      </c>
      <c r="K27" s="10">
        <v>843.9</v>
      </c>
      <c r="P27" s="7" t="s">
        <v>90</v>
      </c>
      <c r="Q27" s="10">
        <v>281.90000000000003</v>
      </c>
      <c r="V27" s="8" t="s">
        <v>16</v>
      </c>
      <c r="W27" s="10">
        <v>245</v>
      </c>
      <c r="X27" s="10">
        <v>977.42</v>
      </c>
    </row>
    <row r="28" spans="10:32" x14ac:dyDescent="0.3">
      <c r="J28" s="8" t="s">
        <v>16</v>
      </c>
      <c r="K28" s="10">
        <v>1162.42</v>
      </c>
      <c r="P28" s="7" t="s">
        <v>17</v>
      </c>
      <c r="Q28" s="10">
        <v>380.2600000000001</v>
      </c>
      <c r="V28" s="7" t="s">
        <v>15</v>
      </c>
      <c r="W28" s="10">
        <v>959</v>
      </c>
      <c r="X28" s="10">
        <v>3742.2300000000005</v>
      </c>
    </row>
    <row r="29" spans="10:32" x14ac:dyDescent="0.3">
      <c r="J29" s="7" t="s">
        <v>21</v>
      </c>
      <c r="K29" s="10">
        <v>4120.2800000000007</v>
      </c>
      <c r="P29" s="7" t="s">
        <v>43</v>
      </c>
      <c r="Q29" s="10">
        <v>253.35999999999999</v>
      </c>
      <c r="V29" s="8" t="s">
        <v>70</v>
      </c>
      <c r="W29" s="10">
        <v>217</v>
      </c>
      <c r="X29" s="10">
        <v>812.04000000000019</v>
      </c>
    </row>
    <row r="30" spans="10:32" x14ac:dyDescent="0.3">
      <c r="J30" s="8" t="s">
        <v>70</v>
      </c>
      <c r="K30" s="10">
        <v>1220.57</v>
      </c>
      <c r="P30" s="7" t="s">
        <v>76</v>
      </c>
      <c r="Q30" s="10">
        <v>358.4899999999999</v>
      </c>
      <c r="V30" s="8" t="s">
        <v>29</v>
      </c>
      <c r="W30" s="10">
        <v>233</v>
      </c>
      <c r="X30" s="10">
        <v>923.87000000000012</v>
      </c>
    </row>
    <row r="31" spans="10:32" x14ac:dyDescent="0.3">
      <c r="J31" s="8" t="s">
        <v>29</v>
      </c>
      <c r="K31" s="10">
        <v>986.9400000000004</v>
      </c>
      <c r="P31" s="7" t="s">
        <v>71</v>
      </c>
      <c r="Q31" s="10">
        <v>381.61</v>
      </c>
      <c r="V31" s="8" t="s">
        <v>22</v>
      </c>
      <c r="W31" s="10">
        <v>206</v>
      </c>
      <c r="X31" s="10">
        <v>843.9</v>
      </c>
      <c r="AD31" s="9" t="s">
        <v>788</v>
      </c>
      <c r="AE31" s="9" t="s">
        <v>787</v>
      </c>
      <c r="AF31" s="9" t="s">
        <v>784</v>
      </c>
    </row>
    <row r="32" spans="10:32" x14ac:dyDescent="0.3">
      <c r="J32" s="8" t="s">
        <v>22</v>
      </c>
      <c r="K32" s="10">
        <v>901.62999999999977</v>
      </c>
      <c r="N32" s="6" t="s">
        <v>785</v>
      </c>
      <c r="O32" t="s">
        <v>788</v>
      </c>
      <c r="P32" s="7" t="s">
        <v>30</v>
      </c>
      <c r="Q32" s="10">
        <v>276.90999999999991</v>
      </c>
      <c r="V32" s="8" t="s">
        <v>16</v>
      </c>
      <c r="W32" s="10">
        <v>303</v>
      </c>
      <c r="X32" s="10">
        <v>1162.42</v>
      </c>
      <c r="AD32">
        <v>4001.2799999999984</v>
      </c>
      <c r="AE32">
        <v>2994</v>
      </c>
      <c r="AF32">
        <v>11936.630000000001</v>
      </c>
    </row>
    <row r="33" spans="10:26" x14ac:dyDescent="0.3">
      <c r="J33" s="8" t="s">
        <v>16</v>
      </c>
      <c r="K33" s="10">
        <v>1011.1400000000003</v>
      </c>
      <c r="N33" s="7" t="s">
        <v>57</v>
      </c>
      <c r="O33" s="10">
        <v>228.23999999999995</v>
      </c>
      <c r="P33" s="7" t="s">
        <v>35</v>
      </c>
      <c r="Q33" s="10">
        <v>304.85000000000008</v>
      </c>
      <c r="V33" s="7" t="s">
        <v>21</v>
      </c>
      <c r="W33" s="10">
        <v>1025</v>
      </c>
      <c r="X33" s="10">
        <v>4120.2800000000007</v>
      </c>
    </row>
    <row r="34" spans="10:26" x14ac:dyDescent="0.3">
      <c r="J34" s="7" t="s">
        <v>786</v>
      </c>
      <c r="K34" s="10">
        <v>11936.630000000001</v>
      </c>
      <c r="N34" s="7" t="s">
        <v>90</v>
      </c>
      <c r="O34" s="10">
        <v>281.90000000000003</v>
      </c>
      <c r="P34" s="7" t="s">
        <v>23</v>
      </c>
      <c r="Q34" s="10">
        <v>911.83</v>
      </c>
      <c r="V34" s="8" t="s">
        <v>70</v>
      </c>
      <c r="W34" s="10">
        <v>299</v>
      </c>
      <c r="X34" s="10">
        <v>1220.57</v>
      </c>
    </row>
    <row r="35" spans="10:26" x14ac:dyDescent="0.3">
      <c r="N35" s="7" t="s">
        <v>17</v>
      </c>
      <c r="O35" s="10">
        <v>380.2600000000001</v>
      </c>
      <c r="P35" s="7" t="s">
        <v>52</v>
      </c>
      <c r="Q35" s="10">
        <v>283.20999999999998</v>
      </c>
      <c r="V35" s="8" t="s">
        <v>29</v>
      </c>
      <c r="W35" s="10">
        <v>242</v>
      </c>
      <c r="X35" s="10">
        <v>986.9400000000004</v>
      </c>
    </row>
    <row r="36" spans="10:26" x14ac:dyDescent="0.3">
      <c r="N36" s="7" t="s">
        <v>43</v>
      </c>
      <c r="O36" s="10">
        <v>253.35999999999999</v>
      </c>
      <c r="P36" s="7" t="s">
        <v>95</v>
      </c>
      <c r="Q36" s="10">
        <v>340.62000000000006</v>
      </c>
      <c r="V36" s="8" t="s">
        <v>22</v>
      </c>
      <c r="W36" s="10">
        <v>227</v>
      </c>
      <c r="X36" s="10">
        <v>901.62999999999977</v>
      </c>
    </row>
    <row r="37" spans="10:26" x14ac:dyDescent="0.3">
      <c r="N37" s="7" t="s">
        <v>76</v>
      </c>
      <c r="O37" s="10">
        <v>358.4899999999999</v>
      </c>
      <c r="P37" s="7" t="s">
        <v>786</v>
      </c>
      <c r="Q37" s="10">
        <v>4001.2799999999997</v>
      </c>
      <c r="V37" s="8" t="s">
        <v>16</v>
      </c>
      <c r="W37" s="10">
        <v>257</v>
      </c>
      <c r="X37" s="10">
        <v>1011.1400000000003</v>
      </c>
    </row>
    <row r="38" spans="10:26" x14ac:dyDescent="0.3">
      <c r="N38" s="7" t="s">
        <v>71</v>
      </c>
      <c r="O38" s="10">
        <v>381.61</v>
      </c>
      <c r="V38" s="7" t="s">
        <v>786</v>
      </c>
      <c r="W38" s="10">
        <v>2994</v>
      </c>
      <c r="X38" s="10">
        <v>11936.630000000001</v>
      </c>
    </row>
    <row r="39" spans="10:26" x14ac:dyDescent="0.3">
      <c r="N39" s="7" t="s">
        <v>30</v>
      </c>
      <c r="O39" s="10">
        <v>276.90999999999991</v>
      </c>
    </row>
    <row r="40" spans="10:26" x14ac:dyDescent="0.3">
      <c r="N40" s="7" t="s">
        <v>35</v>
      </c>
      <c r="O40" s="10">
        <v>304.85000000000008</v>
      </c>
    </row>
    <row r="41" spans="10:26" x14ac:dyDescent="0.3">
      <c r="N41" s="7" t="s">
        <v>23</v>
      </c>
      <c r="O41" s="10">
        <v>911.83</v>
      </c>
    </row>
    <row r="42" spans="10:26" x14ac:dyDescent="0.3">
      <c r="N42" s="7" t="s">
        <v>52</v>
      </c>
      <c r="O42" s="10">
        <v>283.20999999999998</v>
      </c>
    </row>
    <row r="43" spans="10:26" x14ac:dyDescent="0.3">
      <c r="N43" s="7" t="s">
        <v>95</v>
      </c>
      <c r="O43" s="10">
        <v>340.62000000000006</v>
      </c>
    </row>
    <row r="44" spans="10:26" x14ac:dyDescent="0.3">
      <c r="N44" s="7" t="s">
        <v>786</v>
      </c>
      <c r="O44" s="10">
        <v>4001.2799999999997</v>
      </c>
    </row>
    <row r="45" spans="10:26" x14ac:dyDescent="0.3">
      <c r="Y45" s="6" t="s">
        <v>785</v>
      </c>
      <c r="Z45" t="s">
        <v>784</v>
      </c>
    </row>
    <row r="46" spans="10:26" x14ac:dyDescent="0.3">
      <c r="Y46" s="7" t="s">
        <v>13</v>
      </c>
      <c r="Z46" s="10">
        <v>2002.4999999999998</v>
      </c>
    </row>
    <row r="47" spans="10:26" x14ac:dyDescent="0.3">
      <c r="Y47" s="7" t="s">
        <v>42</v>
      </c>
      <c r="Z47" s="10">
        <v>1816.78</v>
      </c>
    </row>
    <row r="48" spans="10:26" x14ac:dyDescent="0.3">
      <c r="Y48" s="7" t="s">
        <v>26</v>
      </c>
      <c r="Z48" s="10">
        <v>1964.6199999999997</v>
      </c>
    </row>
    <row r="49" spans="25:29" x14ac:dyDescent="0.3">
      <c r="Y49" s="7" t="s">
        <v>38</v>
      </c>
      <c r="Z49" s="10">
        <v>1800.2099999999994</v>
      </c>
    </row>
    <row r="50" spans="25:29" x14ac:dyDescent="0.3">
      <c r="Y50" s="7" t="s">
        <v>48</v>
      </c>
      <c r="Z50" s="10">
        <v>2174.5499999999993</v>
      </c>
    </row>
    <row r="51" spans="25:29" x14ac:dyDescent="0.3">
      <c r="Y51" s="7" t="s">
        <v>33</v>
      </c>
      <c r="Z51" s="10">
        <v>2177.9700000000007</v>
      </c>
    </row>
    <row r="52" spans="25:29" x14ac:dyDescent="0.3">
      <c r="Y52" s="7" t="s">
        <v>786</v>
      </c>
      <c r="Z52" s="10">
        <v>11936.63</v>
      </c>
    </row>
    <row r="54" spans="25:29" x14ac:dyDescent="0.3">
      <c r="AB54" t="s">
        <v>790</v>
      </c>
      <c r="AC54" t="s">
        <v>791</v>
      </c>
    </row>
    <row r="55" spans="25:29" x14ac:dyDescent="0.3">
      <c r="AB55" s="10">
        <v>1000</v>
      </c>
      <c r="AC55" s="10">
        <v>1500500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1"/>
  <sheetViews>
    <sheetView workbookViewId="0">
      <selection sqref="A1:K1001"/>
    </sheetView>
  </sheetViews>
  <sheetFormatPr defaultRowHeight="14.4" x14ac:dyDescent="0.3"/>
  <cols>
    <col min="1" max="1" width="19.33203125" customWidth="1"/>
    <col min="2" max="2" width="21.44140625" style="3" customWidth="1"/>
    <col min="3" max="3" width="19" style="1" customWidth="1"/>
    <col min="4" max="4" width="17" customWidth="1"/>
    <col min="5" max="5" width="15.21875" customWidth="1"/>
    <col min="6" max="6" width="23.6640625" customWidth="1"/>
    <col min="7" max="7" width="21.33203125" customWidth="1"/>
    <col min="8" max="8" width="21.88671875" customWidth="1"/>
    <col min="9" max="9" width="15.109375" customWidth="1"/>
    <col min="10" max="10" width="16.33203125" customWidth="1"/>
    <col min="11" max="11" width="14.88671875" customWidth="1"/>
  </cols>
  <sheetData>
    <row r="1" spans="1:11" x14ac:dyDescent="0.3">
      <c r="A1" t="s">
        <v>0</v>
      </c>
      <c r="B1" s="2" t="s">
        <v>1</v>
      </c>
      <c r="C1" s="1" t="s">
        <v>2</v>
      </c>
      <c r="D1" t="s">
        <v>3</v>
      </c>
      <c r="E1" t="s">
        <v>4</v>
      </c>
      <c r="F1" t="s">
        <v>5</v>
      </c>
      <c r="G1" t="s">
        <v>6</v>
      </c>
      <c r="H1" t="s">
        <v>7</v>
      </c>
      <c r="I1" t="s">
        <v>8</v>
      </c>
      <c r="J1" t="s">
        <v>9</v>
      </c>
      <c r="K1" t="s">
        <v>10</v>
      </c>
    </row>
    <row r="2" spans="1:11" x14ac:dyDescent="0.3">
      <c r="A2">
        <v>1001</v>
      </c>
      <c r="B2" s="3" t="s">
        <v>11</v>
      </c>
      <c r="C2" s="1" t="s">
        <v>12</v>
      </c>
      <c r="D2" t="s">
        <v>13</v>
      </c>
      <c r="E2" t="s">
        <v>14</v>
      </c>
      <c r="F2" t="s">
        <v>15</v>
      </c>
      <c r="G2" t="s">
        <v>16</v>
      </c>
      <c r="H2" t="s">
        <v>17</v>
      </c>
      <c r="I2">
        <v>4</v>
      </c>
      <c r="J2">
        <v>5.79</v>
      </c>
      <c r="K2">
        <v>23.16</v>
      </c>
    </row>
    <row r="3" spans="1:11" x14ac:dyDescent="0.3">
      <c r="A3">
        <v>1002</v>
      </c>
      <c r="B3" s="3" t="s">
        <v>18</v>
      </c>
      <c r="C3" s="1" t="s">
        <v>19</v>
      </c>
      <c r="D3" t="s">
        <v>13</v>
      </c>
      <c r="E3" t="s">
        <v>20</v>
      </c>
      <c r="F3" t="s">
        <v>21</v>
      </c>
      <c r="G3" t="s">
        <v>22</v>
      </c>
      <c r="H3" t="s">
        <v>23</v>
      </c>
      <c r="I3">
        <v>1</v>
      </c>
      <c r="J3">
        <v>5.72</v>
      </c>
      <c r="K3">
        <v>5.72</v>
      </c>
    </row>
    <row r="4" spans="1:11" x14ac:dyDescent="0.3">
      <c r="A4">
        <v>1003</v>
      </c>
      <c r="B4" s="3" t="s">
        <v>24</v>
      </c>
      <c r="C4" s="1" t="s">
        <v>25</v>
      </c>
      <c r="D4" t="s">
        <v>26</v>
      </c>
      <c r="E4" t="s">
        <v>27</v>
      </c>
      <c r="F4" t="s">
        <v>28</v>
      </c>
      <c r="G4" t="s">
        <v>29</v>
      </c>
      <c r="H4" t="s">
        <v>30</v>
      </c>
      <c r="I4">
        <v>3</v>
      </c>
      <c r="J4">
        <v>2.2999999999999998</v>
      </c>
      <c r="K4">
        <v>6.9</v>
      </c>
    </row>
    <row r="5" spans="1:11" x14ac:dyDescent="0.3">
      <c r="A5">
        <v>1004</v>
      </c>
      <c r="B5" s="3" t="s">
        <v>31</v>
      </c>
      <c r="C5" s="4">
        <v>0.58333333333333337</v>
      </c>
      <c r="D5" t="s">
        <v>33</v>
      </c>
      <c r="E5" t="s">
        <v>34</v>
      </c>
      <c r="F5" t="s">
        <v>15</v>
      </c>
      <c r="G5" t="s">
        <v>16</v>
      </c>
      <c r="H5" t="s">
        <v>35</v>
      </c>
      <c r="I5">
        <v>3</v>
      </c>
      <c r="J5">
        <v>3.41</v>
      </c>
      <c r="K5">
        <v>10.23</v>
      </c>
    </row>
    <row r="6" spans="1:11" x14ac:dyDescent="0.3">
      <c r="A6">
        <v>1005</v>
      </c>
      <c r="B6" s="3" t="s">
        <v>36</v>
      </c>
      <c r="C6" s="1" t="s">
        <v>37</v>
      </c>
      <c r="D6" t="s">
        <v>38</v>
      </c>
      <c r="E6" t="s">
        <v>39</v>
      </c>
      <c r="F6" t="s">
        <v>28</v>
      </c>
      <c r="G6" t="s">
        <v>29</v>
      </c>
      <c r="H6" t="s">
        <v>30</v>
      </c>
      <c r="I6">
        <v>2</v>
      </c>
      <c r="J6">
        <v>2.54</v>
      </c>
      <c r="K6">
        <v>5.08</v>
      </c>
    </row>
    <row r="7" spans="1:11" x14ac:dyDescent="0.3">
      <c r="A7">
        <v>1006</v>
      </c>
      <c r="B7" s="3" t="s">
        <v>40</v>
      </c>
      <c r="C7" s="1" t="s">
        <v>41</v>
      </c>
      <c r="D7" t="s">
        <v>42</v>
      </c>
      <c r="E7" t="s">
        <v>34</v>
      </c>
      <c r="F7" t="s">
        <v>21</v>
      </c>
      <c r="G7" t="s">
        <v>29</v>
      </c>
      <c r="H7" t="s">
        <v>43</v>
      </c>
      <c r="I7">
        <v>4</v>
      </c>
      <c r="J7">
        <v>5.24</v>
      </c>
      <c r="K7">
        <v>20.96</v>
      </c>
    </row>
    <row r="8" spans="1:11" x14ac:dyDescent="0.3">
      <c r="A8">
        <v>1007</v>
      </c>
      <c r="B8" s="3" t="s">
        <v>44</v>
      </c>
      <c r="C8" s="1" t="s">
        <v>45</v>
      </c>
      <c r="D8" t="s">
        <v>42</v>
      </c>
      <c r="E8" t="s">
        <v>34</v>
      </c>
      <c r="F8" t="s">
        <v>21</v>
      </c>
      <c r="G8" t="s">
        <v>22</v>
      </c>
      <c r="H8" t="s">
        <v>23</v>
      </c>
      <c r="I8">
        <v>4</v>
      </c>
      <c r="J8">
        <v>2.5</v>
      </c>
      <c r="K8">
        <v>10</v>
      </c>
    </row>
    <row r="9" spans="1:11" x14ac:dyDescent="0.3">
      <c r="A9">
        <v>1008</v>
      </c>
      <c r="B9" s="3" t="s">
        <v>46</v>
      </c>
      <c r="C9" s="1" t="s">
        <v>47</v>
      </c>
      <c r="D9" t="s">
        <v>48</v>
      </c>
      <c r="E9" t="s">
        <v>27</v>
      </c>
      <c r="F9" t="s">
        <v>21</v>
      </c>
      <c r="G9" t="s">
        <v>29</v>
      </c>
      <c r="H9" t="s">
        <v>43</v>
      </c>
      <c r="I9">
        <v>4</v>
      </c>
      <c r="J9">
        <v>4.59</v>
      </c>
      <c r="K9">
        <v>18.36</v>
      </c>
    </row>
    <row r="10" spans="1:11" x14ac:dyDescent="0.3">
      <c r="A10">
        <v>1009</v>
      </c>
      <c r="B10" s="3" t="s">
        <v>49</v>
      </c>
      <c r="C10" s="1" t="s">
        <v>50</v>
      </c>
      <c r="D10" t="s">
        <v>38</v>
      </c>
      <c r="E10" t="s">
        <v>51</v>
      </c>
      <c r="F10" t="s">
        <v>28</v>
      </c>
      <c r="G10" t="s">
        <v>29</v>
      </c>
      <c r="H10" t="s">
        <v>52</v>
      </c>
      <c r="I10">
        <v>1</v>
      </c>
      <c r="J10">
        <v>4.0199999999999996</v>
      </c>
      <c r="K10">
        <v>4.0199999999999996</v>
      </c>
    </row>
    <row r="11" spans="1:11" x14ac:dyDescent="0.3">
      <c r="A11">
        <v>1010</v>
      </c>
      <c r="B11" s="3" t="s">
        <v>53</v>
      </c>
      <c r="C11" s="1" t="s">
        <v>54</v>
      </c>
      <c r="D11" t="s">
        <v>38</v>
      </c>
      <c r="E11" t="s">
        <v>14</v>
      </c>
      <c r="F11" t="s">
        <v>21</v>
      </c>
      <c r="G11" t="s">
        <v>22</v>
      </c>
      <c r="H11" t="s">
        <v>23</v>
      </c>
      <c r="I11">
        <v>1</v>
      </c>
      <c r="J11">
        <v>4.97</v>
      </c>
      <c r="K11">
        <v>4.97</v>
      </c>
    </row>
    <row r="12" spans="1:11" x14ac:dyDescent="0.3">
      <c r="A12">
        <v>1011</v>
      </c>
      <c r="B12" s="3" t="s">
        <v>55</v>
      </c>
      <c r="C12" s="1" t="s">
        <v>56</v>
      </c>
      <c r="D12" t="s">
        <v>38</v>
      </c>
      <c r="E12" t="s">
        <v>20</v>
      </c>
      <c r="F12" t="s">
        <v>15</v>
      </c>
      <c r="G12" t="s">
        <v>29</v>
      </c>
      <c r="H12" t="s">
        <v>57</v>
      </c>
      <c r="I12">
        <v>4</v>
      </c>
      <c r="J12">
        <v>2.78</v>
      </c>
      <c r="K12">
        <v>11.12</v>
      </c>
    </row>
    <row r="13" spans="1:11" x14ac:dyDescent="0.3">
      <c r="A13">
        <v>1012</v>
      </c>
      <c r="B13" s="3" t="s">
        <v>58</v>
      </c>
      <c r="C13" s="1" t="s">
        <v>59</v>
      </c>
      <c r="D13" t="s">
        <v>42</v>
      </c>
      <c r="E13" t="s">
        <v>14</v>
      </c>
      <c r="F13" t="s">
        <v>21</v>
      </c>
      <c r="G13" t="s">
        <v>29</v>
      </c>
      <c r="H13" t="s">
        <v>57</v>
      </c>
      <c r="I13">
        <v>1</v>
      </c>
      <c r="J13">
        <v>5.45</v>
      </c>
      <c r="K13">
        <v>5.45</v>
      </c>
    </row>
    <row r="14" spans="1:11" x14ac:dyDescent="0.3">
      <c r="A14">
        <v>1013</v>
      </c>
      <c r="B14" s="3" t="s">
        <v>60</v>
      </c>
      <c r="C14" s="1" t="s">
        <v>61</v>
      </c>
      <c r="D14" t="s">
        <v>33</v>
      </c>
      <c r="E14" t="s">
        <v>39</v>
      </c>
      <c r="F14" t="s">
        <v>21</v>
      </c>
      <c r="G14" t="s">
        <v>16</v>
      </c>
      <c r="H14" t="s">
        <v>17</v>
      </c>
      <c r="I14">
        <v>2</v>
      </c>
      <c r="J14">
        <v>5.92</v>
      </c>
      <c r="K14">
        <v>11.84</v>
      </c>
    </row>
    <row r="15" spans="1:11" x14ac:dyDescent="0.3">
      <c r="A15">
        <v>1014</v>
      </c>
      <c r="B15" s="3" t="s">
        <v>62</v>
      </c>
      <c r="C15" s="1" t="s">
        <v>63</v>
      </c>
      <c r="D15" t="s">
        <v>33</v>
      </c>
      <c r="E15" t="s">
        <v>39</v>
      </c>
      <c r="F15" t="s">
        <v>21</v>
      </c>
      <c r="G15" t="s">
        <v>29</v>
      </c>
      <c r="H15" t="s">
        <v>52</v>
      </c>
      <c r="I15">
        <v>3</v>
      </c>
      <c r="J15">
        <v>3.77</v>
      </c>
      <c r="K15">
        <v>11.31</v>
      </c>
    </row>
    <row r="16" spans="1:11" x14ac:dyDescent="0.3">
      <c r="A16">
        <v>1015</v>
      </c>
      <c r="B16" s="3" t="s">
        <v>64</v>
      </c>
      <c r="C16" s="1" t="s">
        <v>65</v>
      </c>
      <c r="D16" t="s">
        <v>48</v>
      </c>
      <c r="E16" t="s">
        <v>39</v>
      </c>
      <c r="F16" t="s">
        <v>15</v>
      </c>
      <c r="G16" t="s">
        <v>22</v>
      </c>
      <c r="H16" t="s">
        <v>23</v>
      </c>
      <c r="I16">
        <v>1</v>
      </c>
      <c r="J16">
        <v>5.33</v>
      </c>
      <c r="K16">
        <v>5.33</v>
      </c>
    </row>
    <row r="17" spans="1:11" x14ac:dyDescent="0.3">
      <c r="A17">
        <v>1016</v>
      </c>
      <c r="B17" s="3" t="s">
        <v>66</v>
      </c>
      <c r="C17" s="1" t="s">
        <v>67</v>
      </c>
      <c r="D17" t="s">
        <v>42</v>
      </c>
      <c r="E17" t="s">
        <v>39</v>
      </c>
      <c r="F17" t="s">
        <v>21</v>
      </c>
      <c r="G17" t="s">
        <v>16</v>
      </c>
      <c r="H17" t="s">
        <v>35</v>
      </c>
      <c r="I17">
        <v>5</v>
      </c>
      <c r="J17">
        <v>2.88</v>
      </c>
      <c r="K17">
        <v>14.4</v>
      </c>
    </row>
    <row r="18" spans="1:11" x14ac:dyDescent="0.3">
      <c r="A18">
        <v>1017</v>
      </c>
      <c r="B18" s="3" t="s">
        <v>68</v>
      </c>
      <c r="C18" s="1" t="s">
        <v>69</v>
      </c>
      <c r="D18" t="s">
        <v>13</v>
      </c>
      <c r="E18" t="s">
        <v>27</v>
      </c>
      <c r="F18" t="s">
        <v>28</v>
      </c>
      <c r="G18" t="s">
        <v>70</v>
      </c>
      <c r="H18" t="s">
        <v>71</v>
      </c>
      <c r="I18">
        <v>2</v>
      </c>
      <c r="J18">
        <v>5.25</v>
      </c>
      <c r="K18">
        <v>10.5</v>
      </c>
    </row>
    <row r="19" spans="1:11" x14ac:dyDescent="0.3">
      <c r="A19">
        <v>1018</v>
      </c>
      <c r="B19" s="3" t="s">
        <v>72</v>
      </c>
      <c r="C19" s="1" t="s">
        <v>73</v>
      </c>
      <c r="D19" t="s">
        <v>13</v>
      </c>
      <c r="E19" t="s">
        <v>39</v>
      </c>
      <c r="F19" t="s">
        <v>15</v>
      </c>
      <c r="G19" t="s">
        <v>29</v>
      </c>
      <c r="H19" t="s">
        <v>43</v>
      </c>
      <c r="I19">
        <v>2</v>
      </c>
      <c r="J19">
        <v>4.33</v>
      </c>
      <c r="K19">
        <v>8.66</v>
      </c>
    </row>
    <row r="20" spans="1:11" x14ac:dyDescent="0.3">
      <c r="A20">
        <v>1019</v>
      </c>
      <c r="B20" s="3" t="s">
        <v>74</v>
      </c>
      <c r="C20" s="1" t="s">
        <v>75</v>
      </c>
      <c r="D20" t="s">
        <v>33</v>
      </c>
      <c r="E20" t="s">
        <v>27</v>
      </c>
      <c r="F20" t="s">
        <v>21</v>
      </c>
      <c r="G20" t="s">
        <v>16</v>
      </c>
      <c r="H20" t="s">
        <v>76</v>
      </c>
      <c r="I20">
        <v>4</v>
      </c>
      <c r="J20">
        <v>3.57</v>
      </c>
      <c r="K20">
        <v>14.28</v>
      </c>
    </row>
    <row r="21" spans="1:11" x14ac:dyDescent="0.3">
      <c r="A21">
        <v>1020</v>
      </c>
      <c r="B21" s="3" t="s">
        <v>77</v>
      </c>
      <c r="C21" s="1" t="s">
        <v>78</v>
      </c>
      <c r="D21" t="s">
        <v>38</v>
      </c>
      <c r="E21" t="s">
        <v>79</v>
      </c>
      <c r="F21" t="s">
        <v>21</v>
      </c>
      <c r="G21" t="s">
        <v>22</v>
      </c>
      <c r="H21" t="s">
        <v>23</v>
      </c>
      <c r="I21">
        <v>2</v>
      </c>
      <c r="J21">
        <v>3.99</v>
      </c>
      <c r="K21">
        <v>7.98</v>
      </c>
    </row>
    <row r="22" spans="1:11" x14ac:dyDescent="0.3">
      <c r="A22">
        <v>1021</v>
      </c>
      <c r="B22" s="3" t="s">
        <v>80</v>
      </c>
      <c r="C22" s="1" t="s">
        <v>81</v>
      </c>
      <c r="D22" t="s">
        <v>42</v>
      </c>
      <c r="E22" t="s">
        <v>34</v>
      </c>
      <c r="F22" t="s">
        <v>21</v>
      </c>
      <c r="G22" t="s">
        <v>29</v>
      </c>
      <c r="H22" t="s">
        <v>57</v>
      </c>
      <c r="I22">
        <v>2</v>
      </c>
      <c r="J22">
        <v>5.67</v>
      </c>
      <c r="K22">
        <v>11.34</v>
      </c>
    </row>
    <row r="23" spans="1:11" x14ac:dyDescent="0.3">
      <c r="A23">
        <v>1022</v>
      </c>
      <c r="B23" s="3" t="s">
        <v>82</v>
      </c>
      <c r="C23" s="1" t="s">
        <v>83</v>
      </c>
      <c r="D23" t="s">
        <v>48</v>
      </c>
      <c r="E23" t="s">
        <v>20</v>
      </c>
      <c r="F23" t="s">
        <v>28</v>
      </c>
      <c r="G23" t="s">
        <v>29</v>
      </c>
      <c r="H23" t="s">
        <v>57</v>
      </c>
      <c r="I23">
        <v>5</v>
      </c>
      <c r="J23">
        <v>5.0999999999999996</v>
      </c>
      <c r="K23">
        <v>25.5</v>
      </c>
    </row>
    <row r="24" spans="1:11" x14ac:dyDescent="0.3">
      <c r="A24">
        <v>1023</v>
      </c>
      <c r="B24" s="3" t="s">
        <v>84</v>
      </c>
      <c r="C24" s="1" t="s">
        <v>85</v>
      </c>
      <c r="D24" t="s">
        <v>26</v>
      </c>
      <c r="E24" t="s">
        <v>79</v>
      </c>
      <c r="F24" t="s">
        <v>21</v>
      </c>
      <c r="G24" t="s">
        <v>29</v>
      </c>
      <c r="H24" t="s">
        <v>30</v>
      </c>
      <c r="I24">
        <v>4</v>
      </c>
      <c r="J24">
        <v>3.04</v>
      </c>
      <c r="K24">
        <v>12.16</v>
      </c>
    </row>
    <row r="25" spans="1:11" x14ac:dyDescent="0.3">
      <c r="A25">
        <v>1024</v>
      </c>
      <c r="B25" s="3" t="s">
        <v>86</v>
      </c>
      <c r="C25" s="1" t="s">
        <v>87</v>
      </c>
      <c r="D25" t="s">
        <v>26</v>
      </c>
      <c r="E25" t="s">
        <v>14</v>
      </c>
      <c r="F25" t="s">
        <v>28</v>
      </c>
      <c r="G25" t="s">
        <v>16</v>
      </c>
      <c r="H25" t="s">
        <v>17</v>
      </c>
      <c r="I25">
        <v>4</v>
      </c>
      <c r="J25">
        <v>5.31</v>
      </c>
      <c r="K25">
        <v>21.24</v>
      </c>
    </row>
    <row r="26" spans="1:11" x14ac:dyDescent="0.3">
      <c r="A26">
        <v>1025</v>
      </c>
      <c r="B26" s="3" t="s">
        <v>88</v>
      </c>
      <c r="C26" s="1" t="s">
        <v>89</v>
      </c>
      <c r="D26" t="s">
        <v>42</v>
      </c>
      <c r="E26" t="s">
        <v>39</v>
      </c>
      <c r="F26" t="s">
        <v>28</v>
      </c>
      <c r="G26" t="s">
        <v>70</v>
      </c>
      <c r="H26" t="s">
        <v>90</v>
      </c>
      <c r="I26">
        <v>2</v>
      </c>
      <c r="J26">
        <v>5.87</v>
      </c>
      <c r="K26">
        <v>11.74</v>
      </c>
    </row>
    <row r="27" spans="1:11" x14ac:dyDescent="0.3">
      <c r="A27">
        <v>1026</v>
      </c>
      <c r="B27" s="3" t="s">
        <v>91</v>
      </c>
      <c r="C27" s="1" t="s">
        <v>92</v>
      </c>
      <c r="D27" t="s">
        <v>26</v>
      </c>
      <c r="E27" t="s">
        <v>51</v>
      </c>
      <c r="F27" t="s">
        <v>21</v>
      </c>
      <c r="G27" t="s">
        <v>29</v>
      </c>
      <c r="H27" t="s">
        <v>52</v>
      </c>
      <c r="I27">
        <v>5</v>
      </c>
      <c r="J27">
        <v>5.8</v>
      </c>
      <c r="K27">
        <v>29</v>
      </c>
    </row>
    <row r="28" spans="1:11" x14ac:dyDescent="0.3">
      <c r="A28">
        <v>1027</v>
      </c>
      <c r="B28" s="3" t="s">
        <v>93</v>
      </c>
      <c r="C28" s="1" t="s">
        <v>94</v>
      </c>
      <c r="D28" t="s">
        <v>13</v>
      </c>
      <c r="E28" t="s">
        <v>39</v>
      </c>
      <c r="F28" t="s">
        <v>15</v>
      </c>
      <c r="G28" t="s">
        <v>70</v>
      </c>
      <c r="H28" t="s">
        <v>95</v>
      </c>
      <c r="I28">
        <v>3</v>
      </c>
      <c r="J28">
        <v>5.28</v>
      </c>
      <c r="K28">
        <v>15.84</v>
      </c>
    </row>
    <row r="29" spans="1:11" x14ac:dyDescent="0.3">
      <c r="A29">
        <v>1028</v>
      </c>
      <c r="B29" s="3" t="s">
        <v>96</v>
      </c>
      <c r="C29" s="1" t="s">
        <v>97</v>
      </c>
      <c r="D29" t="s">
        <v>26</v>
      </c>
      <c r="E29" t="s">
        <v>79</v>
      </c>
      <c r="F29" t="s">
        <v>21</v>
      </c>
      <c r="G29" t="s">
        <v>70</v>
      </c>
      <c r="H29" t="s">
        <v>95</v>
      </c>
      <c r="I29">
        <v>5</v>
      </c>
      <c r="J29">
        <v>4.8499999999999996</v>
      </c>
      <c r="K29">
        <v>24.25</v>
      </c>
    </row>
    <row r="30" spans="1:11" x14ac:dyDescent="0.3">
      <c r="A30">
        <v>1029</v>
      </c>
      <c r="B30" s="3" t="s">
        <v>98</v>
      </c>
      <c r="C30" s="1" t="s">
        <v>99</v>
      </c>
      <c r="D30" t="s">
        <v>38</v>
      </c>
      <c r="E30" t="s">
        <v>27</v>
      </c>
      <c r="F30" t="s">
        <v>21</v>
      </c>
      <c r="G30" t="s">
        <v>16</v>
      </c>
      <c r="H30" t="s">
        <v>76</v>
      </c>
      <c r="I30">
        <v>1</v>
      </c>
      <c r="J30">
        <v>2.2200000000000002</v>
      </c>
      <c r="K30">
        <v>2.2200000000000002</v>
      </c>
    </row>
    <row r="31" spans="1:11" x14ac:dyDescent="0.3">
      <c r="A31">
        <v>1030</v>
      </c>
      <c r="B31" s="3" t="s">
        <v>100</v>
      </c>
      <c r="C31" s="1" t="s">
        <v>101</v>
      </c>
      <c r="D31" t="s">
        <v>48</v>
      </c>
      <c r="E31" t="s">
        <v>51</v>
      </c>
      <c r="F31" t="s">
        <v>21</v>
      </c>
      <c r="G31" t="s">
        <v>22</v>
      </c>
      <c r="H31" t="s">
        <v>23</v>
      </c>
      <c r="I31">
        <v>1</v>
      </c>
      <c r="J31">
        <v>3.58</v>
      </c>
      <c r="K31">
        <v>3.58</v>
      </c>
    </row>
    <row r="32" spans="1:11" x14ac:dyDescent="0.3">
      <c r="A32">
        <v>1031</v>
      </c>
      <c r="B32" s="3" t="s">
        <v>102</v>
      </c>
      <c r="C32" s="1" t="s">
        <v>103</v>
      </c>
      <c r="D32" t="s">
        <v>33</v>
      </c>
      <c r="E32" t="s">
        <v>14</v>
      </c>
      <c r="F32" t="s">
        <v>21</v>
      </c>
      <c r="G32" t="s">
        <v>70</v>
      </c>
      <c r="H32" t="s">
        <v>71</v>
      </c>
      <c r="I32">
        <v>1</v>
      </c>
      <c r="J32">
        <v>2.93</v>
      </c>
      <c r="K32">
        <v>2.93</v>
      </c>
    </row>
    <row r="33" spans="1:11" x14ac:dyDescent="0.3">
      <c r="A33">
        <v>1032</v>
      </c>
      <c r="B33" s="3" t="s">
        <v>104</v>
      </c>
      <c r="C33" s="1" t="s">
        <v>105</v>
      </c>
      <c r="D33" t="s">
        <v>42</v>
      </c>
      <c r="E33" t="s">
        <v>39</v>
      </c>
      <c r="F33" t="s">
        <v>15</v>
      </c>
      <c r="G33" t="s">
        <v>29</v>
      </c>
      <c r="H33" t="s">
        <v>52</v>
      </c>
      <c r="I33">
        <v>2</v>
      </c>
      <c r="J33">
        <v>4.1900000000000004</v>
      </c>
      <c r="K33">
        <v>8.3800000000000008</v>
      </c>
    </row>
    <row r="34" spans="1:11" x14ac:dyDescent="0.3">
      <c r="A34">
        <v>1033</v>
      </c>
      <c r="B34" s="3" t="s">
        <v>106</v>
      </c>
      <c r="C34" s="1" t="s">
        <v>107</v>
      </c>
      <c r="D34" t="s">
        <v>26</v>
      </c>
      <c r="E34" t="s">
        <v>39</v>
      </c>
      <c r="F34" t="s">
        <v>21</v>
      </c>
      <c r="G34" t="s">
        <v>70</v>
      </c>
      <c r="H34" t="s">
        <v>95</v>
      </c>
      <c r="I34">
        <v>4</v>
      </c>
      <c r="J34">
        <v>2.4</v>
      </c>
      <c r="K34">
        <v>9.6</v>
      </c>
    </row>
    <row r="35" spans="1:11" x14ac:dyDescent="0.3">
      <c r="A35">
        <v>1034</v>
      </c>
      <c r="B35" s="3" t="s">
        <v>108</v>
      </c>
      <c r="C35" s="1" t="s">
        <v>109</v>
      </c>
      <c r="D35" t="s">
        <v>38</v>
      </c>
      <c r="E35" t="s">
        <v>79</v>
      </c>
      <c r="F35" t="s">
        <v>28</v>
      </c>
      <c r="G35" t="s">
        <v>22</v>
      </c>
      <c r="H35" t="s">
        <v>23</v>
      </c>
      <c r="I35">
        <v>1</v>
      </c>
      <c r="J35">
        <v>2.41</v>
      </c>
      <c r="K35">
        <v>2.41</v>
      </c>
    </row>
    <row r="36" spans="1:11" x14ac:dyDescent="0.3">
      <c r="A36">
        <v>1035</v>
      </c>
      <c r="B36" s="3" t="s">
        <v>110</v>
      </c>
      <c r="C36" s="1" t="s">
        <v>111</v>
      </c>
      <c r="D36" t="s">
        <v>26</v>
      </c>
      <c r="E36" t="s">
        <v>51</v>
      </c>
      <c r="F36" t="s">
        <v>15</v>
      </c>
      <c r="G36" t="s">
        <v>16</v>
      </c>
      <c r="H36" t="s">
        <v>17</v>
      </c>
      <c r="I36">
        <v>3</v>
      </c>
      <c r="J36">
        <v>2.79</v>
      </c>
      <c r="K36">
        <v>8.3699999999999992</v>
      </c>
    </row>
    <row r="37" spans="1:11" x14ac:dyDescent="0.3">
      <c r="A37">
        <v>1036</v>
      </c>
      <c r="B37" s="3" t="s">
        <v>112</v>
      </c>
      <c r="C37" s="1" t="s">
        <v>113</v>
      </c>
      <c r="D37" t="s">
        <v>48</v>
      </c>
      <c r="E37" t="s">
        <v>14</v>
      </c>
      <c r="F37" t="s">
        <v>15</v>
      </c>
      <c r="G37" t="s">
        <v>22</v>
      </c>
      <c r="H37" t="s">
        <v>23</v>
      </c>
      <c r="I37">
        <v>3</v>
      </c>
      <c r="J37">
        <v>5.17</v>
      </c>
      <c r="K37">
        <v>15.51</v>
      </c>
    </row>
    <row r="38" spans="1:11" x14ac:dyDescent="0.3">
      <c r="A38">
        <v>1037</v>
      </c>
      <c r="B38" s="3" t="s">
        <v>114</v>
      </c>
      <c r="C38" s="1" t="s">
        <v>115</v>
      </c>
      <c r="D38" t="s">
        <v>26</v>
      </c>
      <c r="E38" t="s">
        <v>20</v>
      </c>
      <c r="F38" t="s">
        <v>21</v>
      </c>
      <c r="G38" t="s">
        <v>29</v>
      </c>
      <c r="H38" t="s">
        <v>43</v>
      </c>
      <c r="I38">
        <v>1</v>
      </c>
      <c r="J38">
        <v>2.85</v>
      </c>
      <c r="K38">
        <v>2.85</v>
      </c>
    </row>
    <row r="39" spans="1:11" x14ac:dyDescent="0.3">
      <c r="A39">
        <v>1038</v>
      </c>
      <c r="B39" s="3" t="s">
        <v>116</v>
      </c>
      <c r="C39" s="1" t="s">
        <v>117</v>
      </c>
      <c r="D39" t="s">
        <v>26</v>
      </c>
      <c r="E39" t="s">
        <v>27</v>
      </c>
      <c r="F39" t="s">
        <v>28</v>
      </c>
      <c r="G39" t="s">
        <v>22</v>
      </c>
      <c r="H39" t="s">
        <v>23</v>
      </c>
      <c r="I39">
        <v>4</v>
      </c>
      <c r="J39">
        <v>3.23</v>
      </c>
      <c r="K39">
        <v>12.92</v>
      </c>
    </row>
    <row r="40" spans="1:11" x14ac:dyDescent="0.3">
      <c r="A40">
        <v>1039</v>
      </c>
      <c r="B40" s="3" t="s">
        <v>118</v>
      </c>
      <c r="C40" s="1" t="s">
        <v>119</v>
      </c>
      <c r="D40" t="s">
        <v>42</v>
      </c>
      <c r="E40" t="s">
        <v>27</v>
      </c>
      <c r="F40" t="s">
        <v>21</v>
      </c>
      <c r="G40" t="s">
        <v>22</v>
      </c>
      <c r="H40" t="s">
        <v>23</v>
      </c>
      <c r="I40">
        <v>5</v>
      </c>
      <c r="J40">
        <v>3.05</v>
      </c>
      <c r="K40">
        <v>15.25</v>
      </c>
    </row>
    <row r="41" spans="1:11" x14ac:dyDescent="0.3">
      <c r="A41">
        <v>1040</v>
      </c>
      <c r="B41" s="3" t="s">
        <v>120</v>
      </c>
      <c r="C41" s="1" t="s">
        <v>121</v>
      </c>
      <c r="D41" t="s">
        <v>33</v>
      </c>
      <c r="E41" t="s">
        <v>20</v>
      </c>
      <c r="F41" t="s">
        <v>21</v>
      </c>
      <c r="G41" t="s">
        <v>70</v>
      </c>
      <c r="H41" t="s">
        <v>71</v>
      </c>
      <c r="I41">
        <v>3</v>
      </c>
      <c r="J41">
        <v>5.14</v>
      </c>
      <c r="K41">
        <v>15.42</v>
      </c>
    </row>
    <row r="42" spans="1:11" x14ac:dyDescent="0.3">
      <c r="A42">
        <v>1041</v>
      </c>
      <c r="B42" s="3" t="s">
        <v>122</v>
      </c>
      <c r="C42" s="1" t="s">
        <v>123</v>
      </c>
      <c r="D42" t="s">
        <v>33</v>
      </c>
      <c r="E42" t="s">
        <v>51</v>
      </c>
      <c r="F42" t="s">
        <v>15</v>
      </c>
      <c r="G42" t="s">
        <v>16</v>
      </c>
      <c r="H42" t="s">
        <v>35</v>
      </c>
      <c r="I42">
        <v>4</v>
      </c>
      <c r="J42">
        <v>3.08</v>
      </c>
      <c r="K42">
        <v>12.32</v>
      </c>
    </row>
    <row r="43" spans="1:11" x14ac:dyDescent="0.3">
      <c r="A43">
        <v>1042</v>
      </c>
      <c r="B43" s="3" t="s">
        <v>124</v>
      </c>
      <c r="C43" s="1" t="s">
        <v>125</v>
      </c>
      <c r="D43" t="s">
        <v>48</v>
      </c>
      <c r="E43" t="s">
        <v>14</v>
      </c>
      <c r="F43" t="s">
        <v>28</v>
      </c>
      <c r="G43" t="s">
        <v>70</v>
      </c>
      <c r="H43" t="s">
        <v>71</v>
      </c>
      <c r="I43">
        <v>2</v>
      </c>
      <c r="J43">
        <v>2.13</v>
      </c>
      <c r="K43">
        <v>4.26</v>
      </c>
    </row>
    <row r="44" spans="1:11" x14ac:dyDescent="0.3">
      <c r="A44">
        <v>1043</v>
      </c>
      <c r="B44" s="3" t="s">
        <v>126</v>
      </c>
      <c r="C44" s="1" t="s">
        <v>127</v>
      </c>
      <c r="D44" t="s">
        <v>26</v>
      </c>
      <c r="E44" t="s">
        <v>14</v>
      </c>
      <c r="F44" t="s">
        <v>15</v>
      </c>
      <c r="G44" t="s">
        <v>16</v>
      </c>
      <c r="H44" t="s">
        <v>17</v>
      </c>
      <c r="I44">
        <v>3</v>
      </c>
      <c r="J44">
        <v>4.5199999999999996</v>
      </c>
      <c r="K44">
        <v>13.56</v>
      </c>
    </row>
    <row r="45" spans="1:11" x14ac:dyDescent="0.3">
      <c r="A45">
        <v>1044</v>
      </c>
      <c r="B45" s="3" t="s">
        <v>128</v>
      </c>
      <c r="C45" s="1" t="s">
        <v>129</v>
      </c>
      <c r="D45" t="s">
        <v>13</v>
      </c>
      <c r="E45" t="s">
        <v>34</v>
      </c>
      <c r="F45" t="s">
        <v>28</v>
      </c>
      <c r="G45" t="s">
        <v>70</v>
      </c>
      <c r="H45" t="s">
        <v>71</v>
      </c>
      <c r="I45">
        <v>5</v>
      </c>
      <c r="J45">
        <v>3.38</v>
      </c>
      <c r="K45">
        <v>16.899999999999999</v>
      </c>
    </row>
    <row r="46" spans="1:11" x14ac:dyDescent="0.3">
      <c r="A46">
        <v>1045</v>
      </c>
      <c r="B46" s="3" t="s">
        <v>130</v>
      </c>
      <c r="C46" s="1" t="s">
        <v>131</v>
      </c>
      <c r="D46" t="s">
        <v>26</v>
      </c>
      <c r="E46" t="s">
        <v>20</v>
      </c>
      <c r="F46" t="s">
        <v>28</v>
      </c>
      <c r="G46" t="s">
        <v>22</v>
      </c>
      <c r="H46" t="s">
        <v>23</v>
      </c>
      <c r="I46">
        <v>4</v>
      </c>
      <c r="J46">
        <v>2.78</v>
      </c>
      <c r="K46">
        <v>11.12</v>
      </c>
    </row>
    <row r="47" spans="1:11" x14ac:dyDescent="0.3">
      <c r="A47">
        <v>1046</v>
      </c>
      <c r="B47" s="3" t="s">
        <v>132</v>
      </c>
      <c r="C47" s="1" t="s">
        <v>133</v>
      </c>
      <c r="D47" t="s">
        <v>26</v>
      </c>
      <c r="E47" t="s">
        <v>39</v>
      </c>
      <c r="F47" t="s">
        <v>15</v>
      </c>
      <c r="G47" t="s">
        <v>16</v>
      </c>
      <c r="H47" t="s">
        <v>76</v>
      </c>
      <c r="I47">
        <v>5</v>
      </c>
      <c r="J47">
        <v>3.83</v>
      </c>
      <c r="K47">
        <v>19.149999999999999</v>
      </c>
    </row>
    <row r="48" spans="1:11" x14ac:dyDescent="0.3">
      <c r="A48">
        <v>1047</v>
      </c>
      <c r="B48" s="3" t="s">
        <v>108</v>
      </c>
      <c r="C48" s="1" t="s">
        <v>134</v>
      </c>
      <c r="D48" t="s">
        <v>38</v>
      </c>
      <c r="E48" t="s">
        <v>79</v>
      </c>
      <c r="F48" t="s">
        <v>21</v>
      </c>
      <c r="G48" t="s">
        <v>29</v>
      </c>
      <c r="H48" t="s">
        <v>43</v>
      </c>
      <c r="I48">
        <v>5</v>
      </c>
      <c r="J48">
        <v>4.4400000000000004</v>
      </c>
      <c r="K48">
        <v>22.2</v>
      </c>
    </row>
    <row r="49" spans="1:11" x14ac:dyDescent="0.3">
      <c r="A49">
        <v>1048</v>
      </c>
      <c r="B49" s="3" t="s">
        <v>135</v>
      </c>
      <c r="C49" s="1" t="s">
        <v>136</v>
      </c>
      <c r="D49" t="s">
        <v>26</v>
      </c>
      <c r="E49" t="s">
        <v>79</v>
      </c>
      <c r="F49" t="s">
        <v>21</v>
      </c>
      <c r="G49" t="s">
        <v>29</v>
      </c>
      <c r="H49" t="s">
        <v>43</v>
      </c>
      <c r="I49">
        <v>5</v>
      </c>
      <c r="J49">
        <v>2.4900000000000002</v>
      </c>
      <c r="K49">
        <v>12.45</v>
      </c>
    </row>
    <row r="50" spans="1:11" x14ac:dyDescent="0.3">
      <c r="A50">
        <v>1049</v>
      </c>
      <c r="B50" s="3" t="s">
        <v>137</v>
      </c>
      <c r="C50" s="1" t="s">
        <v>138</v>
      </c>
      <c r="D50" t="s">
        <v>33</v>
      </c>
      <c r="E50" t="s">
        <v>51</v>
      </c>
      <c r="F50" t="s">
        <v>15</v>
      </c>
      <c r="G50" t="s">
        <v>22</v>
      </c>
      <c r="H50" t="s">
        <v>23</v>
      </c>
      <c r="I50">
        <v>4</v>
      </c>
      <c r="J50">
        <v>3.52</v>
      </c>
      <c r="K50">
        <v>14.08</v>
      </c>
    </row>
    <row r="51" spans="1:11" x14ac:dyDescent="0.3">
      <c r="A51">
        <v>1050</v>
      </c>
      <c r="B51" s="3" t="s">
        <v>139</v>
      </c>
      <c r="C51" s="1" t="s">
        <v>50</v>
      </c>
      <c r="D51" t="s">
        <v>38</v>
      </c>
      <c r="E51" t="s">
        <v>20</v>
      </c>
      <c r="F51" t="s">
        <v>28</v>
      </c>
      <c r="G51" t="s">
        <v>16</v>
      </c>
      <c r="H51" t="s">
        <v>17</v>
      </c>
      <c r="I51">
        <v>2</v>
      </c>
      <c r="J51">
        <v>4.54</v>
      </c>
      <c r="K51">
        <v>9.08</v>
      </c>
    </row>
    <row r="52" spans="1:11" x14ac:dyDescent="0.3">
      <c r="A52">
        <v>1051</v>
      </c>
      <c r="B52" s="3" t="s">
        <v>66</v>
      </c>
      <c r="C52" s="1" t="s">
        <v>61</v>
      </c>
      <c r="D52" t="s">
        <v>42</v>
      </c>
      <c r="E52" t="s">
        <v>39</v>
      </c>
      <c r="F52" t="s">
        <v>21</v>
      </c>
      <c r="G52" t="s">
        <v>29</v>
      </c>
      <c r="H52" t="s">
        <v>52</v>
      </c>
      <c r="I52">
        <v>3</v>
      </c>
      <c r="J52">
        <v>5.75</v>
      </c>
      <c r="K52">
        <v>17.25</v>
      </c>
    </row>
    <row r="53" spans="1:11" x14ac:dyDescent="0.3">
      <c r="A53">
        <v>1052</v>
      </c>
      <c r="B53" s="3" t="s">
        <v>60</v>
      </c>
      <c r="C53" s="1" t="s">
        <v>56</v>
      </c>
      <c r="D53" t="s">
        <v>33</v>
      </c>
      <c r="E53" t="s">
        <v>39</v>
      </c>
      <c r="F53" t="s">
        <v>28</v>
      </c>
      <c r="G53" t="s">
        <v>16</v>
      </c>
      <c r="H53" t="s">
        <v>76</v>
      </c>
      <c r="I53">
        <v>2</v>
      </c>
      <c r="J53">
        <v>4.0999999999999996</v>
      </c>
      <c r="K53">
        <v>8.1999999999999993</v>
      </c>
    </row>
    <row r="54" spans="1:11" x14ac:dyDescent="0.3">
      <c r="A54">
        <v>1053</v>
      </c>
      <c r="B54" s="3" t="s">
        <v>88</v>
      </c>
      <c r="C54" s="1" t="s">
        <v>140</v>
      </c>
      <c r="D54" t="s">
        <v>42</v>
      </c>
      <c r="E54" t="s">
        <v>39</v>
      </c>
      <c r="F54" t="s">
        <v>15</v>
      </c>
      <c r="G54" t="s">
        <v>16</v>
      </c>
      <c r="H54" t="s">
        <v>76</v>
      </c>
      <c r="I54">
        <v>3</v>
      </c>
      <c r="J54">
        <v>3.35</v>
      </c>
      <c r="K54">
        <v>10.050000000000001</v>
      </c>
    </row>
    <row r="55" spans="1:11" x14ac:dyDescent="0.3">
      <c r="A55">
        <v>1054</v>
      </c>
      <c r="B55" s="3" t="s">
        <v>141</v>
      </c>
      <c r="C55" s="1" t="s">
        <v>142</v>
      </c>
      <c r="D55" t="s">
        <v>48</v>
      </c>
      <c r="E55" t="s">
        <v>14</v>
      </c>
      <c r="F55" t="s">
        <v>21</v>
      </c>
      <c r="G55" t="s">
        <v>16</v>
      </c>
      <c r="H55" t="s">
        <v>35</v>
      </c>
      <c r="I55">
        <v>5</v>
      </c>
      <c r="J55">
        <v>4.12</v>
      </c>
      <c r="K55">
        <v>20.6</v>
      </c>
    </row>
    <row r="56" spans="1:11" x14ac:dyDescent="0.3">
      <c r="A56">
        <v>1055</v>
      </c>
      <c r="B56" s="3" t="s">
        <v>124</v>
      </c>
      <c r="C56" s="1" t="s">
        <v>143</v>
      </c>
      <c r="D56" t="s">
        <v>48</v>
      </c>
      <c r="E56" t="s">
        <v>14</v>
      </c>
      <c r="F56" t="s">
        <v>21</v>
      </c>
      <c r="G56" t="s">
        <v>70</v>
      </c>
      <c r="H56" t="s">
        <v>71</v>
      </c>
      <c r="I56">
        <v>2</v>
      </c>
      <c r="J56">
        <v>2.58</v>
      </c>
      <c r="K56">
        <v>5.16</v>
      </c>
    </row>
    <row r="57" spans="1:11" x14ac:dyDescent="0.3">
      <c r="A57">
        <v>1056</v>
      </c>
      <c r="B57" s="3" t="s">
        <v>122</v>
      </c>
      <c r="C57" s="1" t="s">
        <v>144</v>
      </c>
      <c r="D57" t="s">
        <v>33</v>
      </c>
      <c r="E57" t="s">
        <v>51</v>
      </c>
      <c r="F57" t="s">
        <v>15</v>
      </c>
      <c r="G57" t="s">
        <v>70</v>
      </c>
      <c r="H57" t="s">
        <v>71</v>
      </c>
      <c r="I57">
        <v>2</v>
      </c>
      <c r="J57">
        <v>2.98</v>
      </c>
      <c r="K57">
        <v>5.96</v>
      </c>
    </row>
    <row r="58" spans="1:11" x14ac:dyDescent="0.3">
      <c r="A58">
        <v>1057</v>
      </c>
      <c r="B58" s="3" t="s">
        <v>145</v>
      </c>
      <c r="C58" s="1" t="s">
        <v>146</v>
      </c>
      <c r="D58" t="s">
        <v>42</v>
      </c>
      <c r="E58" t="s">
        <v>79</v>
      </c>
      <c r="F58" t="s">
        <v>28</v>
      </c>
      <c r="G58" t="s">
        <v>22</v>
      </c>
      <c r="H58" t="s">
        <v>23</v>
      </c>
      <c r="I58">
        <v>1</v>
      </c>
      <c r="J58">
        <v>5.95</v>
      </c>
      <c r="K58">
        <v>5.95</v>
      </c>
    </row>
    <row r="59" spans="1:11" x14ac:dyDescent="0.3">
      <c r="A59">
        <v>1058</v>
      </c>
      <c r="B59" s="3" t="s">
        <v>147</v>
      </c>
      <c r="C59" s="1" t="s">
        <v>148</v>
      </c>
      <c r="D59" t="s">
        <v>26</v>
      </c>
      <c r="E59" t="s">
        <v>34</v>
      </c>
      <c r="F59" t="s">
        <v>21</v>
      </c>
      <c r="G59" t="s">
        <v>22</v>
      </c>
      <c r="H59" t="s">
        <v>23</v>
      </c>
      <c r="I59">
        <v>3</v>
      </c>
      <c r="J59">
        <v>5.9</v>
      </c>
      <c r="K59">
        <v>17.7</v>
      </c>
    </row>
    <row r="60" spans="1:11" x14ac:dyDescent="0.3">
      <c r="A60">
        <v>1059</v>
      </c>
      <c r="B60" s="3" t="s">
        <v>132</v>
      </c>
      <c r="C60" s="1" t="s">
        <v>54</v>
      </c>
      <c r="D60" t="s">
        <v>26</v>
      </c>
      <c r="E60" t="s">
        <v>39</v>
      </c>
      <c r="F60" t="s">
        <v>28</v>
      </c>
      <c r="G60" t="s">
        <v>70</v>
      </c>
      <c r="H60" t="s">
        <v>95</v>
      </c>
      <c r="I60">
        <v>4</v>
      </c>
      <c r="J60">
        <v>5.95</v>
      </c>
      <c r="K60">
        <v>23.8</v>
      </c>
    </row>
    <row r="61" spans="1:11" x14ac:dyDescent="0.3">
      <c r="A61">
        <v>1060</v>
      </c>
      <c r="B61" s="3" t="s">
        <v>36</v>
      </c>
      <c r="C61" s="1" t="s">
        <v>149</v>
      </c>
      <c r="D61" t="s">
        <v>38</v>
      </c>
      <c r="E61" t="s">
        <v>39</v>
      </c>
      <c r="F61" t="s">
        <v>21</v>
      </c>
      <c r="G61" t="s">
        <v>70</v>
      </c>
      <c r="H61" t="s">
        <v>71</v>
      </c>
      <c r="I61">
        <v>5</v>
      </c>
      <c r="J61">
        <v>3.39</v>
      </c>
      <c r="K61">
        <v>16.95</v>
      </c>
    </row>
    <row r="62" spans="1:11" x14ac:dyDescent="0.3">
      <c r="A62">
        <v>1061</v>
      </c>
      <c r="B62" s="3" t="s">
        <v>93</v>
      </c>
      <c r="C62" s="1" t="s">
        <v>150</v>
      </c>
      <c r="D62" t="s">
        <v>13</v>
      </c>
      <c r="E62" t="s">
        <v>39</v>
      </c>
      <c r="F62" t="s">
        <v>15</v>
      </c>
      <c r="G62" t="s">
        <v>22</v>
      </c>
      <c r="H62" t="s">
        <v>23</v>
      </c>
      <c r="I62">
        <v>4</v>
      </c>
      <c r="J62">
        <v>2.71</v>
      </c>
      <c r="K62">
        <v>10.84</v>
      </c>
    </row>
    <row r="63" spans="1:11" x14ac:dyDescent="0.3">
      <c r="A63">
        <v>1062</v>
      </c>
      <c r="B63" s="3" t="s">
        <v>151</v>
      </c>
      <c r="C63" s="1" t="s">
        <v>152</v>
      </c>
      <c r="D63" t="s">
        <v>13</v>
      </c>
      <c r="E63" t="s">
        <v>34</v>
      </c>
      <c r="F63" t="s">
        <v>15</v>
      </c>
      <c r="G63" t="s">
        <v>29</v>
      </c>
      <c r="H63" t="s">
        <v>30</v>
      </c>
      <c r="I63">
        <v>3</v>
      </c>
      <c r="J63">
        <v>5.73</v>
      </c>
      <c r="K63">
        <v>17.190000000000001</v>
      </c>
    </row>
    <row r="64" spans="1:11" x14ac:dyDescent="0.3">
      <c r="A64">
        <v>1063</v>
      </c>
      <c r="B64" s="3" t="s">
        <v>153</v>
      </c>
      <c r="C64" s="1" t="s">
        <v>154</v>
      </c>
      <c r="D64" t="s">
        <v>13</v>
      </c>
      <c r="E64" t="s">
        <v>14</v>
      </c>
      <c r="F64" t="s">
        <v>15</v>
      </c>
      <c r="G64" t="s">
        <v>22</v>
      </c>
      <c r="H64" t="s">
        <v>23</v>
      </c>
      <c r="I64">
        <v>3</v>
      </c>
      <c r="J64">
        <v>4.29</v>
      </c>
      <c r="K64">
        <v>12.87</v>
      </c>
    </row>
    <row r="65" spans="1:11" x14ac:dyDescent="0.3">
      <c r="A65">
        <v>1064</v>
      </c>
      <c r="B65" s="3" t="s">
        <v>24</v>
      </c>
      <c r="C65" s="1" t="s">
        <v>155</v>
      </c>
      <c r="D65" t="s">
        <v>26</v>
      </c>
      <c r="E65" t="s">
        <v>27</v>
      </c>
      <c r="F65" t="s">
        <v>21</v>
      </c>
      <c r="G65" t="s">
        <v>70</v>
      </c>
      <c r="H65" t="s">
        <v>90</v>
      </c>
      <c r="I65">
        <v>4</v>
      </c>
      <c r="J65">
        <v>4.45</v>
      </c>
      <c r="K65">
        <v>17.8</v>
      </c>
    </row>
    <row r="66" spans="1:11" x14ac:dyDescent="0.3">
      <c r="A66">
        <v>1065</v>
      </c>
      <c r="B66" s="3" t="s">
        <v>156</v>
      </c>
      <c r="C66" s="1" t="s">
        <v>157</v>
      </c>
      <c r="D66" t="s">
        <v>26</v>
      </c>
      <c r="E66" t="s">
        <v>14</v>
      </c>
      <c r="F66" t="s">
        <v>28</v>
      </c>
      <c r="G66" t="s">
        <v>29</v>
      </c>
      <c r="H66" t="s">
        <v>30</v>
      </c>
      <c r="I66">
        <v>1</v>
      </c>
      <c r="J66">
        <v>3.79</v>
      </c>
      <c r="K66">
        <v>3.79</v>
      </c>
    </row>
    <row r="67" spans="1:11" x14ac:dyDescent="0.3">
      <c r="A67">
        <v>1066</v>
      </c>
      <c r="B67" s="3" t="s">
        <v>158</v>
      </c>
      <c r="C67" s="1" t="s">
        <v>159</v>
      </c>
      <c r="D67" t="s">
        <v>13</v>
      </c>
      <c r="E67" t="s">
        <v>27</v>
      </c>
      <c r="F67" t="s">
        <v>21</v>
      </c>
      <c r="G67" t="s">
        <v>29</v>
      </c>
      <c r="H67" t="s">
        <v>57</v>
      </c>
      <c r="I67">
        <v>2</v>
      </c>
      <c r="J67">
        <v>3.12</v>
      </c>
      <c r="K67">
        <v>6.24</v>
      </c>
    </row>
    <row r="68" spans="1:11" x14ac:dyDescent="0.3">
      <c r="A68">
        <v>1067</v>
      </c>
      <c r="B68" s="3" t="s">
        <v>160</v>
      </c>
      <c r="C68" s="1" t="s">
        <v>161</v>
      </c>
      <c r="D68" t="s">
        <v>33</v>
      </c>
      <c r="E68" t="s">
        <v>20</v>
      </c>
      <c r="F68" t="s">
        <v>28</v>
      </c>
      <c r="G68" t="s">
        <v>16</v>
      </c>
      <c r="H68" t="s">
        <v>35</v>
      </c>
      <c r="I68">
        <v>1</v>
      </c>
      <c r="J68">
        <v>2.58</v>
      </c>
      <c r="K68">
        <v>2.58</v>
      </c>
    </row>
    <row r="69" spans="1:11" x14ac:dyDescent="0.3">
      <c r="A69">
        <v>1068</v>
      </c>
      <c r="B69" s="3" t="s">
        <v>162</v>
      </c>
      <c r="C69" s="1" t="s">
        <v>163</v>
      </c>
      <c r="D69" t="s">
        <v>33</v>
      </c>
      <c r="E69" t="s">
        <v>34</v>
      </c>
      <c r="F69" t="s">
        <v>21</v>
      </c>
      <c r="G69" t="s">
        <v>70</v>
      </c>
      <c r="H69" t="s">
        <v>95</v>
      </c>
      <c r="I69">
        <v>2</v>
      </c>
      <c r="J69">
        <v>5.49</v>
      </c>
      <c r="K69">
        <v>10.98</v>
      </c>
    </row>
    <row r="70" spans="1:11" x14ac:dyDescent="0.3">
      <c r="A70">
        <v>1069</v>
      </c>
      <c r="B70" s="3" t="s">
        <v>164</v>
      </c>
      <c r="C70" s="1" t="s">
        <v>165</v>
      </c>
      <c r="D70" t="s">
        <v>38</v>
      </c>
      <c r="E70" t="s">
        <v>79</v>
      </c>
      <c r="F70" t="s">
        <v>28</v>
      </c>
      <c r="G70" t="s">
        <v>70</v>
      </c>
      <c r="H70" t="s">
        <v>71</v>
      </c>
      <c r="I70">
        <v>5</v>
      </c>
      <c r="J70">
        <v>5.21</v>
      </c>
      <c r="K70">
        <v>26.05</v>
      </c>
    </row>
    <row r="71" spans="1:11" x14ac:dyDescent="0.3">
      <c r="A71">
        <v>1070</v>
      </c>
      <c r="B71" s="3" t="s">
        <v>166</v>
      </c>
      <c r="C71" s="1" t="s">
        <v>167</v>
      </c>
      <c r="D71" t="s">
        <v>48</v>
      </c>
      <c r="E71" t="s">
        <v>79</v>
      </c>
      <c r="F71" t="s">
        <v>28</v>
      </c>
      <c r="G71" t="s">
        <v>70</v>
      </c>
      <c r="H71" t="s">
        <v>90</v>
      </c>
      <c r="I71">
        <v>1</v>
      </c>
      <c r="J71">
        <v>2.77</v>
      </c>
      <c r="K71">
        <v>2.77</v>
      </c>
    </row>
    <row r="72" spans="1:11" x14ac:dyDescent="0.3">
      <c r="A72">
        <v>1071</v>
      </c>
      <c r="B72" s="3" t="s">
        <v>135</v>
      </c>
      <c r="C72" s="1" t="s">
        <v>168</v>
      </c>
      <c r="D72" t="s">
        <v>26</v>
      </c>
      <c r="E72" t="s">
        <v>79</v>
      </c>
      <c r="F72" t="s">
        <v>15</v>
      </c>
      <c r="G72" t="s">
        <v>29</v>
      </c>
      <c r="H72" t="s">
        <v>30</v>
      </c>
      <c r="I72">
        <v>2</v>
      </c>
      <c r="J72">
        <v>4.83</v>
      </c>
      <c r="K72">
        <v>9.66</v>
      </c>
    </row>
    <row r="73" spans="1:11" x14ac:dyDescent="0.3">
      <c r="A73">
        <v>1072</v>
      </c>
      <c r="B73" s="3" t="s">
        <v>169</v>
      </c>
      <c r="C73" s="1" t="s">
        <v>170</v>
      </c>
      <c r="D73" t="s">
        <v>48</v>
      </c>
      <c r="E73" t="s">
        <v>20</v>
      </c>
      <c r="F73" t="s">
        <v>21</v>
      </c>
      <c r="G73" t="s">
        <v>70</v>
      </c>
      <c r="H73" t="s">
        <v>90</v>
      </c>
      <c r="I73">
        <v>4</v>
      </c>
      <c r="J73">
        <v>5.66</v>
      </c>
      <c r="K73">
        <v>22.64</v>
      </c>
    </row>
    <row r="74" spans="1:11" x14ac:dyDescent="0.3">
      <c r="A74">
        <v>1073</v>
      </c>
      <c r="B74" s="3" t="s">
        <v>171</v>
      </c>
      <c r="C74" s="1" t="s">
        <v>172</v>
      </c>
      <c r="D74" t="s">
        <v>13</v>
      </c>
      <c r="E74" t="s">
        <v>79</v>
      </c>
      <c r="F74" t="s">
        <v>15</v>
      </c>
      <c r="G74" t="s">
        <v>29</v>
      </c>
      <c r="H74" t="s">
        <v>43</v>
      </c>
      <c r="I74">
        <v>1</v>
      </c>
      <c r="J74">
        <v>2.74</v>
      </c>
      <c r="K74">
        <v>2.74</v>
      </c>
    </row>
    <row r="75" spans="1:11" x14ac:dyDescent="0.3">
      <c r="A75">
        <v>1074</v>
      </c>
      <c r="B75" s="3" t="s">
        <v>86</v>
      </c>
      <c r="C75" s="1" t="s">
        <v>173</v>
      </c>
      <c r="D75" t="s">
        <v>26</v>
      </c>
      <c r="E75" t="s">
        <v>14</v>
      </c>
      <c r="F75" t="s">
        <v>21</v>
      </c>
      <c r="G75" t="s">
        <v>70</v>
      </c>
      <c r="H75" t="s">
        <v>71</v>
      </c>
      <c r="I75">
        <v>3</v>
      </c>
      <c r="J75">
        <v>3.69</v>
      </c>
      <c r="K75">
        <v>11.07</v>
      </c>
    </row>
    <row r="76" spans="1:11" x14ac:dyDescent="0.3">
      <c r="A76">
        <v>1075</v>
      </c>
      <c r="B76" s="3" t="s">
        <v>74</v>
      </c>
      <c r="C76" s="1" t="s">
        <v>174</v>
      </c>
      <c r="D76" t="s">
        <v>33</v>
      </c>
      <c r="E76" t="s">
        <v>27</v>
      </c>
      <c r="F76" t="s">
        <v>28</v>
      </c>
      <c r="G76" t="s">
        <v>70</v>
      </c>
      <c r="H76" t="s">
        <v>90</v>
      </c>
      <c r="I76">
        <v>4</v>
      </c>
      <c r="J76">
        <v>3.22</v>
      </c>
      <c r="K76">
        <v>12.88</v>
      </c>
    </row>
    <row r="77" spans="1:11" x14ac:dyDescent="0.3">
      <c r="A77">
        <v>1076</v>
      </c>
      <c r="B77" s="3" t="s">
        <v>175</v>
      </c>
      <c r="C77" s="1" t="s">
        <v>176</v>
      </c>
      <c r="D77" t="s">
        <v>48</v>
      </c>
      <c r="E77" t="s">
        <v>51</v>
      </c>
      <c r="F77" t="s">
        <v>21</v>
      </c>
      <c r="G77" t="s">
        <v>16</v>
      </c>
      <c r="H77" t="s">
        <v>17</v>
      </c>
      <c r="I77">
        <v>5</v>
      </c>
      <c r="J77">
        <v>3.7</v>
      </c>
      <c r="K77">
        <v>18.5</v>
      </c>
    </row>
    <row r="78" spans="1:11" x14ac:dyDescent="0.3">
      <c r="A78">
        <v>1077</v>
      </c>
      <c r="B78" s="3" t="s">
        <v>91</v>
      </c>
      <c r="C78" s="1" t="s">
        <v>177</v>
      </c>
      <c r="D78" t="s">
        <v>26</v>
      </c>
      <c r="E78" t="s">
        <v>51</v>
      </c>
      <c r="F78" t="s">
        <v>21</v>
      </c>
      <c r="G78" t="s">
        <v>70</v>
      </c>
      <c r="H78" t="s">
        <v>95</v>
      </c>
      <c r="I78">
        <v>2</v>
      </c>
      <c r="J78">
        <v>4.29</v>
      </c>
      <c r="K78">
        <v>8.58</v>
      </c>
    </row>
    <row r="79" spans="1:11" x14ac:dyDescent="0.3">
      <c r="A79">
        <v>1078</v>
      </c>
      <c r="B79" s="3" t="s">
        <v>178</v>
      </c>
      <c r="C79" s="1" t="s">
        <v>179</v>
      </c>
      <c r="D79" t="s">
        <v>26</v>
      </c>
      <c r="E79" t="s">
        <v>51</v>
      </c>
      <c r="F79" t="s">
        <v>15</v>
      </c>
      <c r="G79" t="s">
        <v>22</v>
      </c>
      <c r="H79" t="s">
        <v>23</v>
      </c>
      <c r="I79">
        <v>5</v>
      </c>
      <c r="J79">
        <v>2.59</v>
      </c>
      <c r="K79">
        <v>12.95</v>
      </c>
    </row>
    <row r="80" spans="1:11" x14ac:dyDescent="0.3">
      <c r="A80">
        <v>1079</v>
      </c>
      <c r="B80" s="3" t="s">
        <v>126</v>
      </c>
      <c r="C80" s="1" t="s">
        <v>180</v>
      </c>
      <c r="D80" t="s">
        <v>26</v>
      </c>
      <c r="E80" t="s">
        <v>14</v>
      </c>
      <c r="F80" t="s">
        <v>15</v>
      </c>
      <c r="G80" t="s">
        <v>29</v>
      </c>
      <c r="H80" t="s">
        <v>43</v>
      </c>
      <c r="I80">
        <v>4</v>
      </c>
      <c r="J80">
        <v>3.38</v>
      </c>
      <c r="K80">
        <v>13.52</v>
      </c>
    </row>
    <row r="81" spans="1:11" x14ac:dyDescent="0.3">
      <c r="A81">
        <v>1080</v>
      </c>
      <c r="B81" s="3" t="s">
        <v>181</v>
      </c>
      <c r="C81" s="1" t="s">
        <v>182</v>
      </c>
      <c r="D81" t="s">
        <v>26</v>
      </c>
      <c r="E81" t="s">
        <v>20</v>
      </c>
      <c r="F81" t="s">
        <v>28</v>
      </c>
      <c r="G81" t="s">
        <v>70</v>
      </c>
      <c r="H81" t="s">
        <v>71</v>
      </c>
      <c r="I81">
        <v>2</v>
      </c>
      <c r="J81">
        <v>2.88</v>
      </c>
      <c r="K81">
        <v>5.76</v>
      </c>
    </row>
    <row r="82" spans="1:11" x14ac:dyDescent="0.3">
      <c r="A82">
        <v>1081</v>
      </c>
      <c r="B82" s="3" t="s">
        <v>183</v>
      </c>
      <c r="C82" s="1" t="s">
        <v>172</v>
      </c>
      <c r="D82" t="s">
        <v>48</v>
      </c>
      <c r="E82" t="s">
        <v>34</v>
      </c>
      <c r="F82" t="s">
        <v>21</v>
      </c>
      <c r="G82" t="s">
        <v>70</v>
      </c>
      <c r="H82" t="s">
        <v>90</v>
      </c>
      <c r="I82">
        <v>1</v>
      </c>
      <c r="J82">
        <v>4.58</v>
      </c>
      <c r="K82">
        <v>4.58</v>
      </c>
    </row>
    <row r="83" spans="1:11" x14ac:dyDescent="0.3">
      <c r="A83">
        <v>1082</v>
      </c>
      <c r="B83" s="3" t="s">
        <v>124</v>
      </c>
      <c r="C83" s="1" t="s">
        <v>184</v>
      </c>
      <c r="D83" t="s">
        <v>48</v>
      </c>
      <c r="E83" t="s">
        <v>14</v>
      </c>
      <c r="F83" t="s">
        <v>28</v>
      </c>
      <c r="G83" t="s">
        <v>70</v>
      </c>
      <c r="H83" t="s">
        <v>90</v>
      </c>
      <c r="I83">
        <v>4</v>
      </c>
      <c r="J83">
        <v>5.72</v>
      </c>
      <c r="K83">
        <v>22.88</v>
      </c>
    </row>
    <row r="84" spans="1:11" x14ac:dyDescent="0.3">
      <c r="A84">
        <v>1083</v>
      </c>
      <c r="B84" s="3" t="s">
        <v>185</v>
      </c>
      <c r="C84" s="1" t="s">
        <v>186</v>
      </c>
      <c r="D84" t="s">
        <v>13</v>
      </c>
      <c r="E84" t="s">
        <v>39</v>
      </c>
      <c r="F84" t="s">
        <v>21</v>
      </c>
      <c r="G84" t="s">
        <v>16</v>
      </c>
      <c r="H84" t="s">
        <v>76</v>
      </c>
      <c r="I84">
        <v>1</v>
      </c>
      <c r="J84">
        <v>3.33</v>
      </c>
      <c r="K84">
        <v>3.33</v>
      </c>
    </row>
    <row r="85" spans="1:11" x14ac:dyDescent="0.3">
      <c r="A85">
        <v>1084</v>
      </c>
      <c r="B85" s="3" t="s">
        <v>88</v>
      </c>
      <c r="C85" s="1" t="s">
        <v>187</v>
      </c>
      <c r="D85" t="s">
        <v>42</v>
      </c>
      <c r="E85" t="s">
        <v>39</v>
      </c>
      <c r="F85" t="s">
        <v>21</v>
      </c>
      <c r="G85" t="s">
        <v>29</v>
      </c>
      <c r="H85" t="s">
        <v>57</v>
      </c>
      <c r="I85">
        <v>1</v>
      </c>
      <c r="J85">
        <v>5.52</v>
      </c>
      <c r="K85">
        <v>5.52</v>
      </c>
    </row>
    <row r="86" spans="1:11" x14ac:dyDescent="0.3">
      <c r="A86">
        <v>1085</v>
      </c>
      <c r="B86" s="3" t="s">
        <v>153</v>
      </c>
      <c r="C86" s="1" t="s">
        <v>188</v>
      </c>
      <c r="D86" t="s">
        <v>13</v>
      </c>
      <c r="E86" t="s">
        <v>14</v>
      </c>
      <c r="F86" t="s">
        <v>15</v>
      </c>
      <c r="G86" t="s">
        <v>29</v>
      </c>
      <c r="H86" t="s">
        <v>52</v>
      </c>
      <c r="I86">
        <v>2</v>
      </c>
      <c r="J86">
        <v>5.29</v>
      </c>
      <c r="K86">
        <v>10.58</v>
      </c>
    </row>
    <row r="87" spans="1:11" x14ac:dyDescent="0.3">
      <c r="A87">
        <v>1086</v>
      </c>
      <c r="B87" s="3" t="s">
        <v>122</v>
      </c>
      <c r="C87" s="1" t="s">
        <v>189</v>
      </c>
      <c r="D87" t="s">
        <v>33</v>
      </c>
      <c r="E87" t="s">
        <v>51</v>
      </c>
      <c r="F87" t="s">
        <v>21</v>
      </c>
      <c r="G87" t="s">
        <v>70</v>
      </c>
      <c r="H87" t="s">
        <v>90</v>
      </c>
      <c r="I87">
        <v>3</v>
      </c>
      <c r="J87">
        <v>5.61</v>
      </c>
      <c r="K87">
        <v>16.829999999999998</v>
      </c>
    </row>
    <row r="88" spans="1:11" x14ac:dyDescent="0.3">
      <c r="A88">
        <v>1087</v>
      </c>
      <c r="B88" s="3" t="s">
        <v>190</v>
      </c>
      <c r="C88" s="1" t="s">
        <v>191</v>
      </c>
      <c r="D88" t="s">
        <v>38</v>
      </c>
      <c r="E88" t="s">
        <v>14</v>
      </c>
      <c r="F88" t="s">
        <v>28</v>
      </c>
      <c r="G88" t="s">
        <v>16</v>
      </c>
      <c r="H88" t="s">
        <v>35</v>
      </c>
      <c r="I88">
        <v>5</v>
      </c>
      <c r="J88">
        <v>2.8</v>
      </c>
      <c r="K88">
        <v>14</v>
      </c>
    </row>
    <row r="89" spans="1:11" x14ac:dyDescent="0.3">
      <c r="A89">
        <v>1088</v>
      </c>
      <c r="B89" s="3" t="s">
        <v>192</v>
      </c>
      <c r="C89" s="1" t="s">
        <v>193</v>
      </c>
      <c r="D89" t="s">
        <v>13</v>
      </c>
      <c r="E89" t="s">
        <v>27</v>
      </c>
      <c r="F89" t="s">
        <v>15</v>
      </c>
      <c r="G89" t="s">
        <v>29</v>
      </c>
      <c r="H89" t="s">
        <v>52</v>
      </c>
      <c r="I89">
        <v>1</v>
      </c>
      <c r="J89">
        <v>3.29</v>
      </c>
      <c r="K89">
        <v>3.29</v>
      </c>
    </row>
    <row r="90" spans="1:11" x14ac:dyDescent="0.3">
      <c r="A90">
        <v>1089</v>
      </c>
      <c r="B90" s="3" t="s">
        <v>194</v>
      </c>
      <c r="C90" s="1" t="s">
        <v>195</v>
      </c>
      <c r="D90" t="s">
        <v>38</v>
      </c>
      <c r="E90" t="s">
        <v>51</v>
      </c>
      <c r="F90" t="s">
        <v>21</v>
      </c>
      <c r="G90" t="s">
        <v>70</v>
      </c>
      <c r="H90" t="s">
        <v>71</v>
      </c>
      <c r="I90">
        <v>3</v>
      </c>
      <c r="J90">
        <v>5.67</v>
      </c>
      <c r="K90">
        <v>17.010000000000002</v>
      </c>
    </row>
    <row r="91" spans="1:11" x14ac:dyDescent="0.3">
      <c r="A91">
        <v>1090</v>
      </c>
      <c r="B91" s="3" t="s">
        <v>106</v>
      </c>
      <c r="C91" s="1" t="s">
        <v>196</v>
      </c>
      <c r="D91" t="s">
        <v>26</v>
      </c>
      <c r="E91" t="s">
        <v>39</v>
      </c>
      <c r="F91" t="s">
        <v>15</v>
      </c>
      <c r="G91" t="s">
        <v>16</v>
      </c>
      <c r="H91" t="s">
        <v>35</v>
      </c>
      <c r="I91">
        <v>2</v>
      </c>
      <c r="J91">
        <v>2.62</v>
      </c>
      <c r="K91">
        <v>5.24</v>
      </c>
    </row>
    <row r="92" spans="1:11" x14ac:dyDescent="0.3">
      <c r="A92">
        <v>1091</v>
      </c>
      <c r="B92" s="3" t="s">
        <v>197</v>
      </c>
      <c r="C92" s="1" t="s">
        <v>198</v>
      </c>
      <c r="D92" t="s">
        <v>33</v>
      </c>
      <c r="E92" t="s">
        <v>79</v>
      </c>
      <c r="F92" t="s">
        <v>15</v>
      </c>
      <c r="G92" t="s">
        <v>29</v>
      </c>
      <c r="H92" t="s">
        <v>43</v>
      </c>
      <c r="I92">
        <v>3</v>
      </c>
      <c r="J92">
        <v>3.46</v>
      </c>
      <c r="K92">
        <v>10.38</v>
      </c>
    </row>
    <row r="93" spans="1:11" x14ac:dyDescent="0.3">
      <c r="A93">
        <v>1092</v>
      </c>
      <c r="B93" s="3" t="s">
        <v>199</v>
      </c>
      <c r="C93" s="1" t="s">
        <v>200</v>
      </c>
      <c r="D93" t="s">
        <v>13</v>
      </c>
      <c r="E93" t="s">
        <v>79</v>
      </c>
      <c r="F93" t="s">
        <v>15</v>
      </c>
      <c r="G93" t="s">
        <v>16</v>
      </c>
      <c r="H93" t="s">
        <v>17</v>
      </c>
      <c r="I93">
        <v>4</v>
      </c>
      <c r="J93">
        <v>5.22</v>
      </c>
      <c r="K93">
        <v>20.88</v>
      </c>
    </row>
    <row r="94" spans="1:11" x14ac:dyDescent="0.3">
      <c r="A94">
        <v>1093</v>
      </c>
      <c r="B94" s="3" t="s">
        <v>201</v>
      </c>
      <c r="C94" s="1" t="s">
        <v>202</v>
      </c>
      <c r="D94" t="s">
        <v>48</v>
      </c>
      <c r="E94" t="s">
        <v>14</v>
      </c>
      <c r="F94" t="s">
        <v>15</v>
      </c>
      <c r="G94" t="s">
        <v>70</v>
      </c>
      <c r="H94" t="s">
        <v>95</v>
      </c>
      <c r="I94">
        <v>4</v>
      </c>
      <c r="J94">
        <v>3.82</v>
      </c>
      <c r="K94">
        <v>15.28</v>
      </c>
    </row>
    <row r="95" spans="1:11" x14ac:dyDescent="0.3">
      <c r="A95">
        <v>1094</v>
      </c>
      <c r="B95" s="3" t="s">
        <v>203</v>
      </c>
      <c r="C95" s="1" t="s">
        <v>204</v>
      </c>
      <c r="D95" t="s">
        <v>42</v>
      </c>
      <c r="E95" t="s">
        <v>51</v>
      </c>
      <c r="F95" t="s">
        <v>28</v>
      </c>
      <c r="G95" t="s">
        <v>22</v>
      </c>
      <c r="H95" t="s">
        <v>23</v>
      </c>
      <c r="I95">
        <v>3</v>
      </c>
      <c r="J95">
        <v>4.38</v>
      </c>
      <c r="K95">
        <v>13.14</v>
      </c>
    </row>
    <row r="96" spans="1:11" x14ac:dyDescent="0.3">
      <c r="A96">
        <v>1095</v>
      </c>
      <c r="B96" s="3" t="s">
        <v>205</v>
      </c>
      <c r="C96" s="1" t="s">
        <v>125</v>
      </c>
      <c r="D96" t="s">
        <v>38</v>
      </c>
      <c r="E96" t="s">
        <v>51</v>
      </c>
      <c r="F96" t="s">
        <v>28</v>
      </c>
      <c r="G96" t="s">
        <v>29</v>
      </c>
      <c r="H96" t="s">
        <v>52</v>
      </c>
      <c r="I96">
        <v>3</v>
      </c>
      <c r="J96">
        <v>4.57</v>
      </c>
      <c r="K96">
        <v>13.71</v>
      </c>
    </row>
    <row r="97" spans="1:11" x14ac:dyDescent="0.3">
      <c r="A97">
        <v>1096</v>
      </c>
      <c r="B97" s="3" t="s">
        <v>206</v>
      </c>
      <c r="C97" s="1" t="s">
        <v>207</v>
      </c>
      <c r="D97" t="s">
        <v>33</v>
      </c>
      <c r="E97" t="s">
        <v>27</v>
      </c>
      <c r="F97" t="s">
        <v>21</v>
      </c>
      <c r="G97" t="s">
        <v>70</v>
      </c>
      <c r="H97" t="s">
        <v>71</v>
      </c>
      <c r="I97">
        <v>1</v>
      </c>
      <c r="J97">
        <v>5.48</v>
      </c>
      <c r="K97">
        <v>5.48</v>
      </c>
    </row>
    <row r="98" spans="1:11" x14ac:dyDescent="0.3">
      <c r="A98">
        <v>1097</v>
      </c>
      <c r="B98" s="3" t="s">
        <v>208</v>
      </c>
      <c r="C98" s="1" t="s">
        <v>209</v>
      </c>
      <c r="D98" t="s">
        <v>42</v>
      </c>
      <c r="E98" t="s">
        <v>34</v>
      </c>
      <c r="F98" t="s">
        <v>28</v>
      </c>
      <c r="G98" t="s">
        <v>22</v>
      </c>
      <c r="H98" t="s">
        <v>23</v>
      </c>
      <c r="I98">
        <v>5</v>
      </c>
      <c r="J98">
        <v>5.09</v>
      </c>
      <c r="K98">
        <v>25.45</v>
      </c>
    </row>
    <row r="99" spans="1:11" x14ac:dyDescent="0.3">
      <c r="A99">
        <v>1098</v>
      </c>
      <c r="B99" s="3" t="s">
        <v>210</v>
      </c>
      <c r="C99" s="1" t="s">
        <v>168</v>
      </c>
      <c r="D99" t="s">
        <v>38</v>
      </c>
      <c r="E99" t="s">
        <v>34</v>
      </c>
      <c r="F99" t="s">
        <v>21</v>
      </c>
      <c r="G99" t="s">
        <v>16</v>
      </c>
      <c r="H99" t="s">
        <v>76</v>
      </c>
      <c r="I99">
        <v>2</v>
      </c>
      <c r="J99">
        <v>5.12</v>
      </c>
      <c r="K99">
        <v>10.24</v>
      </c>
    </row>
    <row r="100" spans="1:11" x14ac:dyDescent="0.3">
      <c r="A100">
        <v>1099</v>
      </c>
      <c r="B100" s="3" t="s">
        <v>211</v>
      </c>
      <c r="C100" s="1" t="s">
        <v>212</v>
      </c>
      <c r="D100" t="s">
        <v>42</v>
      </c>
      <c r="E100" t="s">
        <v>27</v>
      </c>
      <c r="F100" t="s">
        <v>15</v>
      </c>
      <c r="G100" t="s">
        <v>70</v>
      </c>
      <c r="H100" t="s">
        <v>71</v>
      </c>
      <c r="I100">
        <v>5</v>
      </c>
      <c r="J100">
        <v>3.42</v>
      </c>
      <c r="K100">
        <v>17.100000000000001</v>
      </c>
    </row>
    <row r="101" spans="1:11" x14ac:dyDescent="0.3">
      <c r="A101">
        <v>1100</v>
      </c>
      <c r="B101" s="3" t="s">
        <v>213</v>
      </c>
      <c r="C101" s="1" t="s">
        <v>214</v>
      </c>
      <c r="D101" t="s">
        <v>13</v>
      </c>
      <c r="E101" t="s">
        <v>20</v>
      </c>
      <c r="F101" t="s">
        <v>15</v>
      </c>
      <c r="G101" t="s">
        <v>70</v>
      </c>
      <c r="H101" t="s">
        <v>95</v>
      </c>
      <c r="I101">
        <v>3</v>
      </c>
      <c r="J101">
        <v>3.73</v>
      </c>
      <c r="K101">
        <v>11.19</v>
      </c>
    </row>
    <row r="102" spans="1:11" x14ac:dyDescent="0.3">
      <c r="A102">
        <v>1101</v>
      </c>
      <c r="B102" s="3" t="s">
        <v>215</v>
      </c>
      <c r="C102" s="1" t="s">
        <v>216</v>
      </c>
      <c r="D102" t="s">
        <v>38</v>
      </c>
      <c r="E102" t="s">
        <v>20</v>
      </c>
      <c r="F102" t="s">
        <v>28</v>
      </c>
      <c r="G102" t="s">
        <v>22</v>
      </c>
      <c r="H102" t="s">
        <v>23</v>
      </c>
      <c r="I102">
        <v>4</v>
      </c>
      <c r="J102">
        <v>2.4500000000000002</v>
      </c>
      <c r="K102">
        <v>9.8000000000000007</v>
      </c>
    </row>
    <row r="103" spans="1:11" x14ac:dyDescent="0.3">
      <c r="A103">
        <v>1102</v>
      </c>
      <c r="B103" s="3" t="s">
        <v>68</v>
      </c>
      <c r="C103" s="1" t="s">
        <v>217</v>
      </c>
      <c r="D103" t="s">
        <v>13</v>
      </c>
      <c r="E103" t="s">
        <v>27</v>
      </c>
      <c r="F103" t="s">
        <v>28</v>
      </c>
      <c r="G103" t="s">
        <v>22</v>
      </c>
      <c r="H103" t="s">
        <v>23</v>
      </c>
      <c r="I103">
        <v>5</v>
      </c>
      <c r="J103">
        <v>4.3099999999999996</v>
      </c>
      <c r="K103">
        <v>21.55</v>
      </c>
    </row>
    <row r="104" spans="1:11" x14ac:dyDescent="0.3">
      <c r="A104">
        <v>1103</v>
      </c>
      <c r="B104" s="3" t="s">
        <v>218</v>
      </c>
      <c r="C104" s="1" t="s">
        <v>219</v>
      </c>
      <c r="D104" t="s">
        <v>38</v>
      </c>
      <c r="E104" t="s">
        <v>20</v>
      </c>
      <c r="F104" t="s">
        <v>21</v>
      </c>
      <c r="G104" t="s">
        <v>70</v>
      </c>
      <c r="H104" t="s">
        <v>71</v>
      </c>
      <c r="I104">
        <v>4</v>
      </c>
      <c r="J104">
        <v>5.8</v>
      </c>
      <c r="K104">
        <v>23.2</v>
      </c>
    </row>
    <row r="105" spans="1:11" x14ac:dyDescent="0.3">
      <c r="A105">
        <v>1104</v>
      </c>
      <c r="B105" s="3" t="s">
        <v>124</v>
      </c>
      <c r="C105" s="1" t="s">
        <v>220</v>
      </c>
      <c r="D105" t="s">
        <v>48</v>
      </c>
      <c r="E105" t="s">
        <v>14</v>
      </c>
      <c r="F105" t="s">
        <v>28</v>
      </c>
      <c r="G105" t="s">
        <v>16</v>
      </c>
      <c r="H105" t="s">
        <v>35</v>
      </c>
      <c r="I105">
        <v>3</v>
      </c>
      <c r="J105">
        <v>4.32</v>
      </c>
      <c r="K105">
        <v>12.96</v>
      </c>
    </row>
    <row r="106" spans="1:11" x14ac:dyDescent="0.3">
      <c r="A106">
        <v>1105</v>
      </c>
      <c r="B106" s="3" t="s">
        <v>221</v>
      </c>
      <c r="C106" s="1" t="s">
        <v>222</v>
      </c>
      <c r="D106" t="s">
        <v>13</v>
      </c>
      <c r="E106" t="s">
        <v>34</v>
      </c>
      <c r="F106" t="s">
        <v>21</v>
      </c>
      <c r="G106" t="s">
        <v>29</v>
      </c>
      <c r="H106" t="s">
        <v>30</v>
      </c>
      <c r="I106">
        <v>2</v>
      </c>
      <c r="J106">
        <v>4.6100000000000003</v>
      </c>
      <c r="K106">
        <v>9.2200000000000006</v>
      </c>
    </row>
    <row r="107" spans="1:11" x14ac:dyDescent="0.3">
      <c r="A107">
        <v>1106</v>
      </c>
      <c r="B107" s="3" t="s">
        <v>190</v>
      </c>
      <c r="C107" s="1" t="s">
        <v>223</v>
      </c>
      <c r="D107" t="s">
        <v>38</v>
      </c>
      <c r="E107" t="s">
        <v>14</v>
      </c>
      <c r="F107" t="s">
        <v>21</v>
      </c>
      <c r="G107" t="s">
        <v>70</v>
      </c>
      <c r="H107" t="s">
        <v>71</v>
      </c>
      <c r="I107">
        <v>2</v>
      </c>
      <c r="J107">
        <v>2.5099999999999998</v>
      </c>
      <c r="K107">
        <v>5.0199999999999996</v>
      </c>
    </row>
    <row r="108" spans="1:11" x14ac:dyDescent="0.3">
      <c r="A108">
        <v>1107</v>
      </c>
      <c r="B108" s="3" t="s">
        <v>224</v>
      </c>
      <c r="C108" s="1" t="s">
        <v>225</v>
      </c>
      <c r="D108" t="s">
        <v>33</v>
      </c>
      <c r="E108" t="s">
        <v>14</v>
      </c>
      <c r="F108" t="s">
        <v>15</v>
      </c>
      <c r="G108" t="s">
        <v>29</v>
      </c>
      <c r="H108" t="s">
        <v>52</v>
      </c>
      <c r="I108">
        <v>1</v>
      </c>
      <c r="J108">
        <v>4.21</v>
      </c>
      <c r="K108">
        <v>4.21</v>
      </c>
    </row>
    <row r="109" spans="1:11" x14ac:dyDescent="0.3">
      <c r="A109">
        <v>1108</v>
      </c>
      <c r="B109" s="3" t="s">
        <v>64</v>
      </c>
      <c r="C109" s="1" t="s">
        <v>226</v>
      </c>
      <c r="D109" t="s">
        <v>48</v>
      </c>
      <c r="E109" t="s">
        <v>39</v>
      </c>
      <c r="F109" t="s">
        <v>28</v>
      </c>
      <c r="G109" t="s">
        <v>29</v>
      </c>
      <c r="H109" t="s">
        <v>52</v>
      </c>
      <c r="I109">
        <v>1</v>
      </c>
      <c r="J109">
        <v>2.17</v>
      </c>
      <c r="K109">
        <v>2.17</v>
      </c>
    </row>
    <row r="110" spans="1:11" x14ac:dyDescent="0.3">
      <c r="A110">
        <v>1109</v>
      </c>
      <c r="B110" s="3" t="s">
        <v>80</v>
      </c>
      <c r="C110" s="1" t="s">
        <v>127</v>
      </c>
      <c r="D110" t="s">
        <v>42</v>
      </c>
      <c r="E110" t="s">
        <v>34</v>
      </c>
      <c r="F110" t="s">
        <v>28</v>
      </c>
      <c r="G110" t="s">
        <v>16</v>
      </c>
      <c r="H110" t="s">
        <v>17</v>
      </c>
      <c r="I110">
        <v>4</v>
      </c>
      <c r="J110">
        <v>3.97</v>
      </c>
      <c r="K110">
        <v>15.88</v>
      </c>
    </row>
    <row r="111" spans="1:11" x14ac:dyDescent="0.3">
      <c r="A111">
        <v>1110</v>
      </c>
      <c r="B111" s="3" t="s">
        <v>158</v>
      </c>
      <c r="C111" s="1" t="s">
        <v>227</v>
      </c>
      <c r="D111" t="s">
        <v>13</v>
      </c>
      <c r="E111" t="s">
        <v>27</v>
      </c>
      <c r="F111" t="s">
        <v>28</v>
      </c>
      <c r="G111" t="s">
        <v>22</v>
      </c>
      <c r="H111" t="s">
        <v>23</v>
      </c>
      <c r="I111">
        <v>3</v>
      </c>
      <c r="J111">
        <v>5.24</v>
      </c>
      <c r="K111">
        <v>15.72</v>
      </c>
    </row>
    <row r="112" spans="1:11" x14ac:dyDescent="0.3">
      <c r="A112">
        <v>1111</v>
      </c>
      <c r="B112" s="3" t="s">
        <v>126</v>
      </c>
      <c r="C112" s="1" t="s">
        <v>228</v>
      </c>
      <c r="D112" t="s">
        <v>26</v>
      </c>
      <c r="E112" t="s">
        <v>14</v>
      </c>
      <c r="F112" t="s">
        <v>28</v>
      </c>
      <c r="G112" t="s">
        <v>22</v>
      </c>
      <c r="H112" t="s">
        <v>23</v>
      </c>
      <c r="I112">
        <v>5</v>
      </c>
      <c r="J112">
        <v>5.2</v>
      </c>
      <c r="K112">
        <v>26</v>
      </c>
    </row>
    <row r="113" spans="1:11" x14ac:dyDescent="0.3">
      <c r="A113">
        <v>1112</v>
      </c>
      <c r="B113" s="3" t="s">
        <v>229</v>
      </c>
      <c r="C113" s="1" t="s">
        <v>230</v>
      </c>
      <c r="D113" t="s">
        <v>48</v>
      </c>
      <c r="E113" t="s">
        <v>79</v>
      </c>
      <c r="F113" t="s">
        <v>21</v>
      </c>
      <c r="G113" t="s">
        <v>16</v>
      </c>
      <c r="H113" t="s">
        <v>76</v>
      </c>
      <c r="I113">
        <v>2</v>
      </c>
      <c r="J113">
        <v>4.84</v>
      </c>
      <c r="K113">
        <v>9.68</v>
      </c>
    </row>
    <row r="114" spans="1:11" x14ac:dyDescent="0.3">
      <c r="A114">
        <v>1113</v>
      </c>
      <c r="B114" s="3" t="s">
        <v>126</v>
      </c>
      <c r="C114" s="1" t="s">
        <v>231</v>
      </c>
      <c r="D114" t="s">
        <v>26</v>
      </c>
      <c r="E114" t="s">
        <v>14</v>
      </c>
      <c r="F114" t="s">
        <v>28</v>
      </c>
      <c r="G114" t="s">
        <v>70</v>
      </c>
      <c r="H114" t="s">
        <v>90</v>
      </c>
      <c r="I114">
        <v>3</v>
      </c>
      <c r="J114">
        <v>2.2200000000000002</v>
      </c>
      <c r="K114">
        <v>6.66</v>
      </c>
    </row>
    <row r="115" spans="1:11" x14ac:dyDescent="0.3">
      <c r="A115">
        <v>1114</v>
      </c>
      <c r="B115" s="3" t="s">
        <v>232</v>
      </c>
      <c r="C115" s="1" t="s">
        <v>233</v>
      </c>
      <c r="D115" t="s">
        <v>42</v>
      </c>
      <c r="E115" t="s">
        <v>51</v>
      </c>
      <c r="F115" t="s">
        <v>15</v>
      </c>
      <c r="G115" t="s">
        <v>29</v>
      </c>
      <c r="H115" t="s">
        <v>52</v>
      </c>
      <c r="I115">
        <v>1</v>
      </c>
      <c r="J115">
        <v>5.81</v>
      </c>
      <c r="K115">
        <v>5.81</v>
      </c>
    </row>
    <row r="116" spans="1:11" x14ac:dyDescent="0.3">
      <c r="A116">
        <v>1115</v>
      </c>
      <c r="B116" s="3" t="s">
        <v>234</v>
      </c>
      <c r="C116" s="1" t="s">
        <v>140</v>
      </c>
      <c r="D116" t="s">
        <v>33</v>
      </c>
      <c r="E116" t="s">
        <v>51</v>
      </c>
      <c r="F116" t="s">
        <v>21</v>
      </c>
      <c r="G116" t="s">
        <v>22</v>
      </c>
      <c r="H116" t="s">
        <v>23</v>
      </c>
      <c r="I116">
        <v>2</v>
      </c>
      <c r="J116">
        <v>4.79</v>
      </c>
      <c r="K116">
        <v>9.58</v>
      </c>
    </row>
    <row r="117" spans="1:11" x14ac:dyDescent="0.3">
      <c r="A117">
        <v>1116</v>
      </c>
      <c r="B117" s="3" t="s">
        <v>91</v>
      </c>
      <c r="C117" s="1" t="s">
        <v>235</v>
      </c>
      <c r="D117" t="s">
        <v>26</v>
      </c>
      <c r="E117" t="s">
        <v>51</v>
      </c>
      <c r="F117" t="s">
        <v>28</v>
      </c>
      <c r="G117" t="s">
        <v>22</v>
      </c>
      <c r="H117" t="s">
        <v>23</v>
      </c>
      <c r="I117">
        <v>1</v>
      </c>
      <c r="J117">
        <v>5.59</v>
      </c>
      <c r="K117">
        <v>5.59</v>
      </c>
    </row>
    <row r="118" spans="1:11" x14ac:dyDescent="0.3">
      <c r="A118">
        <v>1117</v>
      </c>
      <c r="B118" s="3" t="s">
        <v>236</v>
      </c>
      <c r="C118" s="1" t="s">
        <v>237</v>
      </c>
      <c r="D118" t="s">
        <v>42</v>
      </c>
      <c r="E118" t="s">
        <v>79</v>
      </c>
      <c r="F118" t="s">
        <v>15</v>
      </c>
      <c r="G118" t="s">
        <v>70</v>
      </c>
      <c r="H118" t="s">
        <v>95</v>
      </c>
      <c r="I118">
        <v>2</v>
      </c>
      <c r="J118">
        <v>3.67</v>
      </c>
      <c r="K118">
        <v>7.34</v>
      </c>
    </row>
    <row r="119" spans="1:11" x14ac:dyDescent="0.3">
      <c r="A119">
        <v>1118</v>
      </c>
      <c r="B119" s="3" t="s">
        <v>238</v>
      </c>
      <c r="C119" s="1" t="s">
        <v>239</v>
      </c>
      <c r="D119" t="s">
        <v>38</v>
      </c>
      <c r="E119" t="s">
        <v>34</v>
      </c>
      <c r="F119" t="s">
        <v>15</v>
      </c>
      <c r="G119" t="s">
        <v>70</v>
      </c>
      <c r="H119" t="s">
        <v>71</v>
      </c>
      <c r="I119">
        <v>1</v>
      </c>
      <c r="J119">
        <v>5.1100000000000003</v>
      </c>
      <c r="K119">
        <v>5.1100000000000003</v>
      </c>
    </row>
    <row r="120" spans="1:11" x14ac:dyDescent="0.3">
      <c r="A120">
        <v>1119</v>
      </c>
      <c r="B120" s="3" t="s">
        <v>240</v>
      </c>
      <c r="C120" s="1" t="s">
        <v>241</v>
      </c>
      <c r="D120" t="s">
        <v>48</v>
      </c>
      <c r="E120" t="s">
        <v>20</v>
      </c>
      <c r="F120" t="s">
        <v>28</v>
      </c>
      <c r="G120" t="s">
        <v>22</v>
      </c>
      <c r="H120" t="s">
        <v>23</v>
      </c>
      <c r="I120">
        <v>4</v>
      </c>
      <c r="J120">
        <v>5.88</v>
      </c>
      <c r="K120">
        <v>23.52</v>
      </c>
    </row>
    <row r="121" spans="1:11" x14ac:dyDescent="0.3">
      <c r="A121">
        <v>1120</v>
      </c>
      <c r="B121" s="3" t="s">
        <v>164</v>
      </c>
      <c r="C121" s="1" t="s">
        <v>242</v>
      </c>
      <c r="D121" t="s">
        <v>38</v>
      </c>
      <c r="E121" t="s">
        <v>79</v>
      </c>
      <c r="F121" t="s">
        <v>28</v>
      </c>
      <c r="G121" t="s">
        <v>70</v>
      </c>
      <c r="H121" t="s">
        <v>71</v>
      </c>
      <c r="I121">
        <v>4</v>
      </c>
      <c r="J121">
        <v>2.2999999999999998</v>
      </c>
      <c r="K121">
        <v>9.1999999999999993</v>
      </c>
    </row>
    <row r="122" spans="1:11" x14ac:dyDescent="0.3">
      <c r="A122">
        <v>1121</v>
      </c>
      <c r="B122" s="3" t="s">
        <v>243</v>
      </c>
      <c r="C122" s="1" t="s">
        <v>244</v>
      </c>
      <c r="D122" t="s">
        <v>48</v>
      </c>
      <c r="E122" t="s">
        <v>39</v>
      </c>
      <c r="F122" t="s">
        <v>15</v>
      </c>
      <c r="G122" t="s">
        <v>70</v>
      </c>
      <c r="H122" t="s">
        <v>90</v>
      </c>
      <c r="I122">
        <v>4</v>
      </c>
      <c r="J122">
        <v>2.61</v>
      </c>
      <c r="K122">
        <v>10.44</v>
      </c>
    </row>
    <row r="123" spans="1:11" x14ac:dyDescent="0.3">
      <c r="A123">
        <v>1122</v>
      </c>
      <c r="B123" s="3" t="s">
        <v>236</v>
      </c>
      <c r="C123" s="1" t="s">
        <v>245</v>
      </c>
      <c r="D123" t="s">
        <v>42</v>
      </c>
      <c r="E123" t="s">
        <v>79</v>
      </c>
      <c r="F123" t="s">
        <v>28</v>
      </c>
      <c r="G123" t="s">
        <v>22</v>
      </c>
      <c r="H123" t="s">
        <v>23</v>
      </c>
      <c r="I123">
        <v>1</v>
      </c>
      <c r="J123">
        <v>4.1900000000000004</v>
      </c>
      <c r="K123">
        <v>4.1900000000000004</v>
      </c>
    </row>
    <row r="124" spans="1:11" x14ac:dyDescent="0.3">
      <c r="A124">
        <v>1123</v>
      </c>
      <c r="B124" s="3" t="s">
        <v>246</v>
      </c>
      <c r="C124" s="1" t="s">
        <v>247</v>
      </c>
      <c r="D124" t="s">
        <v>33</v>
      </c>
      <c r="E124" t="s">
        <v>39</v>
      </c>
      <c r="F124" t="s">
        <v>15</v>
      </c>
      <c r="G124" t="s">
        <v>70</v>
      </c>
      <c r="H124" t="s">
        <v>95</v>
      </c>
      <c r="I124">
        <v>4</v>
      </c>
      <c r="J124">
        <v>2.92</v>
      </c>
      <c r="K124">
        <v>11.68</v>
      </c>
    </row>
    <row r="125" spans="1:11" x14ac:dyDescent="0.3">
      <c r="A125">
        <v>1124</v>
      </c>
      <c r="B125" s="3" t="s">
        <v>248</v>
      </c>
      <c r="C125" s="1" t="s">
        <v>249</v>
      </c>
      <c r="D125" t="s">
        <v>48</v>
      </c>
      <c r="E125" t="s">
        <v>79</v>
      </c>
      <c r="F125" t="s">
        <v>21</v>
      </c>
      <c r="G125" t="s">
        <v>16</v>
      </c>
      <c r="H125" t="s">
        <v>17</v>
      </c>
      <c r="I125">
        <v>4</v>
      </c>
      <c r="J125">
        <v>4.3</v>
      </c>
      <c r="K125">
        <v>17.2</v>
      </c>
    </row>
    <row r="126" spans="1:11" x14ac:dyDescent="0.3">
      <c r="A126">
        <v>1125</v>
      </c>
      <c r="B126" s="3" t="s">
        <v>250</v>
      </c>
      <c r="C126" s="1" t="s">
        <v>251</v>
      </c>
      <c r="D126" t="s">
        <v>42</v>
      </c>
      <c r="E126" t="s">
        <v>20</v>
      </c>
      <c r="F126" t="s">
        <v>15</v>
      </c>
      <c r="G126" t="s">
        <v>16</v>
      </c>
      <c r="H126" t="s">
        <v>17</v>
      </c>
      <c r="I126">
        <v>2</v>
      </c>
      <c r="J126">
        <v>2.76</v>
      </c>
      <c r="K126">
        <v>5.52</v>
      </c>
    </row>
    <row r="127" spans="1:11" x14ac:dyDescent="0.3">
      <c r="A127">
        <v>1126</v>
      </c>
      <c r="B127" s="3" t="s">
        <v>232</v>
      </c>
      <c r="C127" s="1" t="s">
        <v>252</v>
      </c>
      <c r="D127" t="s">
        <v>42</v>
      </c>
      <c r="E127" t="s">
        <v>51</v>
      </c>
      <c r="F127" t="s">
        <v>28</v>
      </c>
      <c r="G127" t="s">
        <v>70</v>
      </c>
      <c r="H127" t="s">
        <v>90</v>
      </c>
      <c r="I127">
        <v>1</v>
      </c>
      <c r="J127">
        <v>5.81</v>
      </c>
      <c r="K127">
        <v>5.81</v>
      </c>
    </row>
    <row r="128" spans="1:11" x14ac:dyDescent="0.3">
      <c r="A128">
        <v>1127</v>
      </c>
      <c r="B128" s="3" t="s">
        <v>253</v>
      </c>
      <c r="C128" s="1" t="s">
        <v>254</v>
      </c>
      <c r="D128" t="s">
        <v>13</v>
      </c>
      <c r="E128" t="s">
        <v>79</v>
      </c>
      <c r="F128" t="s">
        <v>28</v>
      </c>
      <c r="G128" t="s">
        <v>70</v>
      </c>
      <c r="H128" t="s">
        <v>90</v>
      </c>
      <c r="I128">
        <v>1</v>
      </c>
      <c r="J128">
        <v>4.97</v>
      </c>
      <c r="K128">
        <v>4.97</v>
      </c>
    </row>
    <row r="129" spans="1:11" x14ac:dyDescent="0.3">
      <c r="A129">
        <v>1128</v>
      </c>
      <c r="B129" s="3" t="s">
        <v>147</v>
      </c>
      <c r="C129" s="1" t="s">
        <v>152</v>
      </c>
      <c r="D129" t="s">
        <v>26</v>
      </c>
      <c r="E129" t="s">
        <v>34</v>
      </c>
      <c r="F129" t="s">
        <v>21</v>
      </c>
      <c r="G129" t="s">
        <v>70</v>
      </c>
      <c r="H129" t="s">
        <v>71</v>
      </c>
      <c r="I129">
        <v>4</v>
      </c>
      <c r="J129">
        <v>3.35</v>
      </c>
      <c r="K129">
        <v>13.4</v>
      </c>
    </row>
    <row r="130" spans="1:11" x14ac:dyDescent="0.3">
      <c r="A130">
        <v>1129</v>
      </c>
      <c r="B130" s="3" t="s">
        <v>82</v>
      </c>
      <c r="C130" s="1" t="s">
        <v>239</v>
      </c>
      <c r="D130" t="s">
        <v>48</v>
      </c>
      <c r="E130" t="s">
        <v>20</v>
      </c>
      <c r="F130" t="s">
        <v>28</v>
      </c>
      <c r="G130" t="s">
        <v>16</v>
      </c>
      <c r="H130" t="s">
        <v>76</v>
      </c>
      <c r="I130">
        <v>1</v>
      </c>
      <c r="J130">
        <v>3.4</v>
      </c>
      <c r="K130">
        <v>3.4</v>
      </c>
    </row>
    <row r="131" spans="1:11" x14ac:dyDescent="0.3">
      <c r="A131">
        <v>1130</v>
      </c>
      <c r="B131" s="3" t="s">
        <v>24</v>
      </c>
      <c r="C131" s="1" t="s">
        <v>255</v>
      </c>
      <c r="D131" t="s">
        <v>26</v>
      </c>
      <c r="E131" t="s">
        <v>27</v>
      </c>
      <c r="F131" t="s">
        <v>28</v>
      </c>
      <c r="G131" t="s">
        <v>16</v>
      </c>
      <c r="H131" t="s">
        <v>76</v>
      </c>
      <c r="I131">
        <v>4</v>
      </c>
      <c r="J131">
        <v>4.51</v>
      </c>
      <c r="K131">
        <v>18.04</v>
      </c>
    </row>
    <row r="132" spans="1:11" x14ac:dyDescent="0.3">
      <c r="A132">
        <v>1131</v>
      </c>
      <c r="B132" s="3" t="s">
        <v>256</v>
      </c>
      <c r="C132" s="1" t="s">
        <v>257</v>
      </c>
      <c r="D132" t="s">
        <v>33</v>
      </c>
      <c r="E132" t="s">
        <v>27</v>
      </c>
      <c r="F132" t="s">
        <v>21</v>
      </c>
      <c r="G132" t="s">
        <v>16</v>
      </c>
      <c r="H132" t="s">
        <v>35</v>
      </c>
      <c r="I132">
        <v>4</v>
      </c>
      <c r="J132">
        <v>4.9800000000000004</v>
      </c>
      <c r="K132">
        <v>19.920000000000002</v>
      </c>
    </row>
    <row r="133" spans="1:11" x14ac:dyDescent="0.3">
      <c r="A133">
        <v>1132</v>
      </c>
      <c r="B133" s="3" t="s">
        <v>258</v>
      </c>
      <c r="C133" s="1" t="s">
        <v>259</v>
      </c>
      <c r="D133" t="s">
        <v>38</v>
      </c>
      <c r="E133" t="s">
        <v>14</v>
      </c>
      <c r="F133" t="s">
        <v>21</v>
      </c>
      <c r="G133" t="s">
        <v>70</v>
      </c>
      <c r="H133" t="s">
        <v>71</v>
      </c>
      <c r="I133">
        <v>5</v>
      </c>
      <c r="J133">
        <v>5.93</v>
      </c>
      <c r="K133">
        <v>29.65</v>
      </c>
    </row>
    <row r="134" spans="1:11" x14ac:dyDescent="0.3">
      <c r="A134">
        <v>1133</v>
      </c>
      <c r="B134" s="3" t="s">
        <v>185</v>
      </c>
      <c r="C134" s="1" t="s">
        <v>260</v>
      </c>
      <c r="D134" t="s">
        <v>13</v>
      </c>
      <c r="E134" t="s">
        <v>39</v>
      </c>
      <c r="F134" t="s">
        <v>21</v>
      </c>
      <c r="G134" t="s">
        <v>70</v>
      </c>
      <c r="H134" t="s">
        <v>71</v>
      </c>
      <c r="I134">
        <v>5</v>
      </c>
      <c r="J134">
        <v>5.72</v>
      </c>
      <c r="K134">
        <v>28.6</v>
      </c>
    </row>
    <row r="135" spans="1:11" x14ac:dyDescent="0.3">
      <c r="A135">
        <v>1134</v>
      </c>
      <c r="B135" s="3" t="s">
        <v>139</v>
      </c>
      <c r="C135" s="1" t="s">
        <v>261</v>
      </c>
      <c r="D135" t="s">
        <v>38</v>
      </c>
      <c r="E135" t="s">
        <v>20</v>
      </c>
      <c r="F135" t="s">
        <v>21</v>
      </c>
      <c r="G135" t="s">
        <v>70</v>
      </c>
      <c r="H135" t="s">
        <v>90</v>
      </c>
      <c r="I135">
        <v>2</v>
      </c>
      <c r="J135">
        <v>3.7</v>
      </c>
      <c r="K135">
        <v>7.4</v>
      </c>
    </row>
    <row r="136" spans="1:11" x14ac:dyDescent="0.3">
      <c r="A136">
        <v>1135</v>
      </c>
      <c r="B136" s="3" t="s">
        <v>262</v>
      </c>
      <c r="C136" s="1" t="s">
        <v>263</v>
      </c>
      <c r="D136" t="s">
        <v>33</v>
      </c>
      <c r="E136" t="s">
        <v>39</v>
      </c>
      <c r="F136" t="s">
        <v>28</v>
      </c>
      <c r="G136" t="s">
        <v>22</v>
      </c>
      <c r="H136" t="s">
        <v>23</v>
      </c>
      <c r="I136">
        <v>1</v>
      </c>
      <c r="J136">
        <v>4.93</v>
      </c>
      <c r="K136">
        <v>4.93</v>
      </c>
    </row>
    <row r="137" spans="1:11" x14ac:dyDescent="0.3">
      <c r="A137">
        <v>1136</v>
      </c>
      <c r="B137" s="3" t="s">
        <v>264</v>
      </c>
      <c r="C137" s="1" t="s">
        <v>75</v>
      </c>
      <c r="D137" t="s">
        <v>26</v>
      </c>
      <c r="E137" t="s">
        <v>51</v>
      </c>
      <c r="F137" t="s">
        <v>28</v>
      </c>
      <c r="G137" t="s">
        <v>70</v>
      </c>
      <c r="H137" t="s">
        <v>90</v>
      </c>
      <c r="I137">
        <v>3</v>
      </c>
      <c r="J137">
        <v>4.72</v>
      </c>
      <c r="K137">
        <v>14.16</v>
      </c>
    </row>
    <row r="138" spans="1:11" x14ac:dyDescent="0.3">
      <c r="A138">
        <v>1137</v>
      </c>
      <c r="B138" s="3" t="s">
        <v>190</v>
      </c>
      <c r="C138" s="1" t="s">
        <v>219</v>
      </c>
      <c r="D138" t="s">
        <v>38</v>
      </c>
      <c r="E138" t="s">
        <v>14</v>
      </c>
      <c r="F138" t="s">
        <v>15</v>
      </c>
      <c r="G138" t="s">
        <v>29</v>
      </c>
      <c r="H138" t="s">
        <v>30</v>
      </c>
      <c r="I138">
        <v>4</v>
      </c>
      <c r="J138">
        <v>2.83</v>
      </c>
      <c r="K138">
        <v>11.32</v>
      </c>
    </row>
    <row r="139" spans="1:11" x14ac:dyDescent="0.3">
      <c r="A139">
        <v>1138</v>
      </c>
      <c r="B139" s="3" t="s">
        <v>229</v>
      </c>
      <c r="C139" s="1" t="s">
        <v>265</v>
      </c>
      <c r="D139" t="s">
        <v>48</v>
      </c>
      <c r="E139" t="s">
        <v>79</v>
      </c>
      <c r="F139" t="s">
        <v>21</v>
      </c>
      <c r="G139" t="s">
        <v>16</v>
      </c>
      <c r="H139" t="s">
        <v>76</v>
      </c>
      <c r="I139">
        <v>1</v>
      </c>
      <c r="J139">
        <v>5.08</v>
      </c>
      <c r="K139">
        <v>5.08</v>
      </c>
    </row>
    <row r="140" spans="1:11" x14ac:dyDescent="0.3">
      <c r="A140">
        <v>1139</v>
      </c>
      <c r="B140" s="3" t="s">
        <v>82</v>
      </c>
      <c r="C140" s="1" t="s">
        <v>266</v>
      </c>
      <c r="D140" t="s">
        <v>48</v>
      </c>
      <c r="E140" t="s">
        <v>20</v>
      </c>
      <c r="F140" t="s">
        <v>15</v>
      </c>
      <c r="G140" t="s">
        <v>22</v>
      </c>
      <c r="H140" t="s">
        <v>23</v>
      </c>
      <c r="I140">
        <v>1</v>
      </c>
      <c r="J140">
        <v>2.62</v>
      </c>
      <c r="K140">
        <v>2.62</v>
      </c>
    </row>
    <row r="141" spans="1:11" x14ac:dyDescent="0.3">
      <c r="A141">
        <v>1140</v>
      </c>
      <c r="B141" s="3" t="s">
        <v>139</v>
      </c>
      <c r="C141" s="1" t="s">
        <v>267</v>
      </c>
      <c r="D141" t="s">
        <v>38</v>
      </c>
      <c r="E141" t="s">
        <v>20</v>
      </c>
      <c r="F141" t="s">
        <v>28</v>
      </c>
      <c r="G141" t="s">
        <v>16</v>
      </c>
      <c r="H141" t="s">
        <v>35</v>
      </c>
      <c r="I141">
        <v>1</v>
      </c>
      <c r="J141">
        <v>3.37</v>
      </c>
      <c r="K141">
        <v>3.37</v>
      </c>
    </row>
    <row r="142" spans="1:11" x14ac:dyDescent="0.3">
      <c r="A142">
        <v>1141</v>
      </c>
      <c r="B142" s="3" t="s">
        <v>268</v>
      </c>
      <c r="C142" s="1" t="s">
        <v>161</v>
      </c>
      <c r="D142" t="s">
        <v>33</v>
      </c>
      <c r="E142" t="s">
        <v>51</v>
      </c>
      <c r="F142" t="s">
        <v>28</v>
      </c>
      <c r="G142" t="s">
        <v>70</v>
      </c>
      <c r="H142" t="s">
        <v>95</v>
      </c>
      <c r="I142">
        <v>3</v>
      </c>
      <c r="J142">
        <v>4.08</v>
      </c>
      <c r="K142">
        <v>12.24</v>
      </c>
    </row>
    <row r="143" spans="1:11" x14ac:dyDescent="0.3">
      <c r="A143">
        <v>1142</v>
      </c>
      <c r="B143" s="3" t="s">
        <v>269</v>
      </c>
      <c r="C143" s="1" t="s">
        <v>198</v>
      </c>
      <c r="D143" t="s">
        <v>26</v>
      </c>
      <c r="E143" t="s">
        <v>79</v>
      </c>
      <c r="F143" t="s">
        <v>21</v>
      </c>
      <c r="G143" t="s">
        <v>29</v>
      </c>
      <c r="H143" t="s">
        <v>57</v>
      </c>
      <c r="I143">
        <v>1</v>
      </c>
      <c r="J143">
        <v>2.13</v>
      </c>
      <c r="K143">
        <v>2.13</v>
      </c>
    </row>
    <row r="144" spans="1:11" x14ac:dyDescent="0.3">
      <c r="A144">
        <v>1143</v>
      </c>
      <c r="B144" s="3" t="s">
        <v>270</v>
      </c>
      <c r="C144" s="1" t="s">
        <v>271</v>
      </c>
      <c r="D144" t="s">
        <v>33</v>
      </c>
      <c r="E144" t="s">
        <v>34</v>
      </c>
      <c r="F144" t="s">
        <v>15</v>
      </c>
      <c r="G144" t="s">
        <v>70</v>
      </c>
      <c r="H144" t="s">
        <v>95</v>
      </c>
      <c r="I144">
        <v>5</v>
      </c>
      <c r="J144">
        <v>2.64</v>
      </c>
      <c r="K144">
        <v>13.2</v>
      </c>
    </row>
    <row r="145" spans="1:11" x14ac:dyDescent="0.3">
      <c r="A145">
        <v>1144</v>
      </c>
      <c r="B145" s="3" t="s">
        <v>272</v>
      </c>
      <c r="C145" s="1" t="s">
        <v>273</v>
      </c>
      <c r="D145" t="s">
        <v>33</v>
      </c>
      <c r="E145" t="s">
        <v>79</v>
      </c>
      <c r="F145" t="s">
        <v>21</v>
      </c>
      <c r="G145" t="s">
        <v>16</v>
      </c>
      <c r="H145" t="s">
        <v>76</v>
      </c>
      <c r="I145">
        <v>4</v>
      </c>
      <c r="J145">
        <v>2.98</v>
      </c>
      <c r="K145">
        <v>11.92</v>
      </c>
    </row>
    <row r="146" spans="1:11" x14ac:dyDescent="0.3">
      <c r="A146">
        <v>1145</v>
      </c>
      <c r="B146" s="3" t="s">
        <v>274</v>
      </c>
      <c r="C146" s="1" t="s">
        <v>275</v>
      </c>
      <c r="D146" t="s">
        <v>42</v>
      </c>
      <c r="E146" t="s">
        <v>20</v>
      </c>
      <c r="F146" t="s">
        <v>28</v>
      </c>
      <c r="G146" t="s">
        <v>29</v>
      </c>
      <c r="H146" t="s">
        <v>57</v>
      </c>
      <c r="I146">
        <v>5</v>
      </c>
      <c r="J146">
        <v>5.39</v>
      </c>
      <c r="K146">
        <v>26.95</v>
      </c>
    </row>
    <row r="147" spans="1:11" x14ac:dyDescent="0.3">
      <c r="A147">
        <v>1146</v>
      </c>
      <c r="B147" s="3" t="s">
        <v>234</v>
      </c>
      <c r="C147" s="1" t="s">
        <v>276</v>
      </c>
      <c r="D147" t="s">
        <v>33</v>
      </c>
      <c r="E147" t="s">
        <v>51</v>
      </c>
      <c r="F147" t="s">
        <v>15</v>
      </c>
      <c r="G147" t="s">
        <v>29</v>
      </c>
      <c r="H147" t="s">
        <v>30</v>
      </c>
      <c r="I147">
        <v>1</v>
      </c>
      <c r="J147">
        <v>5.64</v>
      </c>
      <c r="K147">
        <v>5.64</v>
      </c>
    </row>
    <row r="148" spans="1:11" x14ac:dyDescent="0.3">
      <c r="A148">
        <v>1147</v>
      </c>
      <c r="B148" s="3" t="s">
        <v>240</v>
      </c>
      <c r="C148" s="1" t="s">
        <v>277</v>
      </c>
      <c r="D148" t="s">
        <v>48</v>
      </c>
      <c r="E148" t="s">
        <v>20</v>
      </c>
      <c r="F148" t="s">
        <v>21</v>
      </c>
      <c r="G148" t="s">
        <v>70</v>
      </c>
      <c r="H148" t="s">
        <v>71</v>
      </c>
      <c r="I148">
        <v>2</v>
      </c>
      <c r="J148">
        <v>2.15</v>
      </c>
      <c r="K148">
        <v>4.3</v>
      </c>
    </row>
    <row r="149" spans="1:11" x14ac:dyDescent="0.3">
      <c r="A149">
        <v>1148</v>
      </c>
      <c r="B149" s="3" t="s">
        <v>151</v>
      </c>
      <c r="C149" s="1" t="s">
        <v>278</v>
      </c>
      <c r="D149" t="s">
        <v>13</v>
      </c>
      <c r="E149" t="s">
        <v>34</v>
      </c>
      <c r="F149" t="s">
        <v>21</v>
      </c>
      <c r="G149" t="s">
        <v>22</v>
      </c>
      <c r="H149" t="s">
        <v>23</v>
      </c>
      <c r="I149">
        <v>2</v>
      </c>
      <c r="J149">
        <v>4.12</v>
      </c>
      <c r="K149">
        <v>8.24</v>
      </c>
    </row>
    <row r="150" spans="1:11" x14ac:dyDescent="0.3">
      <c r="A150">
        <v>1149</v>
      </c>
      <c r="B150" s="3" t="s">
        <v>49</v>
      </c>
      <c r="C150" s="1" t="s">
        <v>279</v>
      </c>
      <c r="D150" t="s">
        <v>38</v>
      </c>
      <c r="E150" t="s">
        <v>51</v>
      </c>
      <c r="F150" t="s">
        <v>21</v>
      </c>
      <c r="G150" t="s">
        <v>16</v>
      </c>
      <c r="H150" t="s">
        <v>76</v>
      </c>
      <c r="I150">
        <v>1</v>
      </c>
      <c r="J150">
        <v>5.87</v>
      </c>
      <c r="K150">
        <v>5.87</v>
      </c>
    </row>
    <row r="151" spans="1:11" x14ac:dyDescent="0.3">
      <c r="A151">
        <v>1150</v>
      </c>
      <c r="B151" s="3" t="s">
        <v>60</v>
      </c>
      <c r="C151" s="1" t="s">
        <v>280</v>
      </c>
      <c r="D151" t="s">
        <v>33</v>
      </c>
      <c r="E151" t="s">
        <v>39</v>
      </c>
      <c r="F151" t="s">
        <v>15</v>
      </c>
      <c r="G151" t="s">
        <v>16</v>
      </c>
      <c r="H151" t="s">
        <v>17</v>
      </c>
      <c r="I151">
        <v>2</v>
      </c>
      <c r="J151">
        <v>2.86</v>
      </c>
      <c r="K151">
        <v>5.72</v>
      </c>
    </row>
    <row r="152" spans="1:11" x14ac:dyDescent="0.3">
      <c r="A152">
        <v>1151</v>
      </c>
      <c r="B152" s="3" t="s">
        <v>100</v>
      </c>
      <c r="C152" s="1" t="s">
        <v>281</v>
      </c>
      <c r="D152" t="s">
        <v>48</v>
      </c>
      <c r="E152" t="s">
        <v>51</v>
      </c>
      <c r="F152" t="s">
        <v>15</v>
      </c>
      <c r="G152" t="s">
        <v>29</v>
      </c>
      <c r="H152" t="s">
        <v>57</v>
      </c>
      <c r="I152">
        <v>2</v>
      </c>
      <c r="J152">
        <v>4.5199999999999996</v>
      </c>
      <c r="K152">
        <v>9.0399999999999991</v>
      </c>
    </row>
    <row r="153" spans="1:11" x14ac:dyDescent="0.3">
      <c r="A153">
        <v>1152</v>
      </c>
      <c r="B153" s="3" t="s">
        <v>236</v>
      </c>
      <c r="C153" s="1" t="s">
        <v>282</v>
      </c>
      <c r="D153" t="s">
        <v>42</v>
      </c>
      <c r="E153" t="s">
        <v>79</v>
      </c>
      <c r="F153" t="s">
        <v>28</v>
      </c>
      <c r="G153" t="s">
        <v>16</v>
      </c>
      <c r="H153" t="s">
        <v>76</v>
      </c>
      <c r="I153">
        <v>2</v>
      </c>
      <c r="J153">
        <v>3.99</v>
      </c>
      <c r="K153">
        <v>7.98</v>
      </c>
    </row>
    <row r="154" spans="1:11" x14ac:dyDescent="0.3">
      <c r="A154">
        <v>1153</v>
      </c>
      <c r="B154" s="3" t="s">
        <v>60</v>
      </c>
      <c r="C154" s="1" t="s">
        <v>283</v>
      </c>
      <c r="D154" t="s">
        <v>33</v>
      </c>
      <c r="E154" t="s">
        <v>39</v>
      </c>
      <c r="F154" t="s">
        <v>21</v>
      </c>
      <c r="G154" t="s">
        <v>16</v>
      </c>
      <c r="H154" t="s">
        <v>17</v>
      </c>
      <c r="I154">
        <v>4</v>
      </c>
      <c r="J154">
        <v>5.2</v>
      </c>
      <c r="K154">
        <v>20.8</v>
      </c>
    </row>
    <row r="155" spans="1:11" x14ac:dyDescent="0.3">
      <c r="A155">
        <v>1154</v>
      </c>
      <c r="B155" s="3" t="s">
        <v>284</v>
      </c>
      <c r="C155" s="1" t="s">
        <v>285</v>
      </c>
      <c r="D155" t="s">
        <v>38</v>
      </c>
      <c r="E155" t="s">
        <v>27</v>
      </c>
      <c r="F155" t="s">
        <v>28</v>
      </c>
      <c r="G155" t="s">
        <v>29</v>
      </c>
      <c r="H155" t="s">
        <v>30</v>
      </c>
      <c r="I155">
        <v>1</v>
      </c>
      <c r="J155">
        <v>5.61</v>
      </c>
      <c r="K155">
        <v>5.61</v>
      </c>
    </row>
    <row r="156" spans="1:11" x14ac:dyDescent="0.3">
      <c r="A156">
        <v>1155</v>
      </c>
      <c r="B156" s="3" t="s">
        <v>256</v>
      </c>
      <c r="C156" s="1" t="s">
        <v>286</v>
      </c>
      <c r="D156" t="s">
        <v>33</v>
      </c>
      <c r="E156" t="s">
        <v>27</v>
      </c>
      <c r="F156" t="s">
        <v>15</v>
      </c>
      <c r="G156" t="s">
        <v>22</v>
      </c>
      <c r="H156" t="s">
        <v>23</v>
      </c>
      <c r="I156">
        <v>4</v>
      </c>
      <c r="J156">
        <v>5.51</v>
      </c>
      <c r="K156">
        <v>22.04</v>
      </c>
    </row>
    <row r="157" spans="1:11" x14ac:dyDescent="0.3">
      <c r="A157">
        <v>1156</v>
      </c>
      <c r="B157" s="3" t="s">
        <v>287</v>
      </c>
      <c r="C157" s="1" t="s">
        <v>288</v>
      </c>
      <c r="D157" t="s">
        <v>42</v>
      </c>
      <c r="E157" t="s">
        <v>51</v>
      </c>
      <c r="F157" t="s">
        <v>15</v>
      </c>
      <c r="G157" t="s">
        <v>22</v>
      </c>
      <c r="H157" t="s">
        <v>23</v>
      </c>
      <c r="I157">
        <v>2</v>
      </c>
      <c r="J157">
        <v>3.29</v>
      </c>
      <c r="K157">
        <v>6.58</v>
      </c>
    </row>
    <row r="158" spans="1:11" x14ac:dyDescent="0.3">
      <c r="A158">
        <v>1157</v>
      </c>
      <c r="B158" s="3" t="s">
        <v>106</v>
      </c>
      <c r="C158" s="1" t="s">
        <v>289</v>
      </c>
      <c r="D158" t="s">
        <v>26</v>
      </c>
      <c r="E158" t="s">
        <v>39</v>
      </c>
      <c r="F158" t="s">
        <v>28</v>
      </c>
      <c r="G158" t="s">
        <v>22</v>
      </c>
      <c r="H158" t="s">
        <v>23</v>
      </c>
      <c r="I158">
        <v>5</v>
      </c>
      <c r="J158">
        <v>4.03</v>
      </c>
      <c r="K158">
        <v>20.149999999999999</v>
      </c>
    </row>
    <row r="159" spans="1:11" x14ac:dyDescent="0.3">
      <c r="A159">
        <v>1158</v>
      </c>
      <c r="B159" s="3" t="s">
        <v>290</v>
      </c>
      <c r="C159" s="1" t="s">
        <v>291</v>
      </c>
      <c r="D159" t="s">
        <v>33</v>
      </c>
      <c r="E159" t="s">
        <v>20</v>
      </c>
      <c r="F159" t="s">
        <v>28</v>
      </c>
      <c r="G159" t="s">
        <v>70</v>
      </c>
      <c r="H159" t="s">
        <v>95</v>
      </c>
      <c r="I159">
        <v>2</v>
      </c>
      <c r="J159">
        <v>3.78</v>
      </c>
      <c r="K159">
        <v>7.56</v>
      </c>
    </row>
    <row r="160" spans="1:11" x14ac:dyDescent="0.3">
      <c r="A160">
        <v>1159</v>
      </c>
      <c r="B160" s="3" t="s">
        <v>82</v>
      </c>
      <c r="C160" s="1" t="s">
        <v>292</v>
      </c>
      <c r="D160" t="s">
        <v>48</v>
      </c>
      <c r="E160" t="s">
        <v>20</v>
      </c>
      <c r="F160" t="s">
        <v>15</v>
      </c>
      <c r="G160" t="s">
        <v>70</v>
      </c>
      <c r="H160" t="s">
        <v>95</v>
      </c>
      <c r="I160">
        <v>3</v>
      </c>
      <c r="J160">
        <v>4.24</v>
      </c>
      <c r="K160">
        <v>12.72</v>
      </c>
    </row>
    <row r="161" spans="1:11" x14ac:dyDescent="0.3">
      <c r="A161">
        <v>1160</v>
      </c>
      <c r="B161" s="3" t="s">
        <v>293</v>
      </c>
      <c r="C161" s="1" t="s">
        <v>294</v>
      </c>
      <c r="D161" t="s">
        <v>48</v>
      </c>
      <c r="E161" t="s">
        <v>34</v>
      </c>
      <c r="F161" t="s">
        <v>15</v>
      </c>
      <c r="G161" t="s">
        <v>22</v>
      </c>
      <c r="H161" t="s">
        <v>23</v>
      </c>
      <c r="I161">
        <v>5</v>
      </c>
      <c r="J161">
        <v>3.36</v>
      </c>
      <c r="K161">
        <v>16.8</v>
      </c>
    </row>
    <row r="162" spans="1:11" x14ac:dyDescent="0.3">
      <c r="A162">
        <v>1161</v>
      </c>
      <c r="B162" s="3" t="s">
        <v>295</v>
      </c>
      <c r="C162" s="1" t="s">
        <v>296</v>
      </c>
      <c r="D162" t="s">
        <v>13</v>
      </c>
      <c r="E162" t="s">
        <v>20</v>
      </c>
      <c r="F162" t="s">
        <v>21</v>
      </c>
      <c r="G162" t="s">
        <v>29</v>
      </c>
      <c r="H162" t="s">
        <v>30</v>
      </c>
      <c r="I162">
        <v>5</v>
      </c>
      <c r="J162">
        <v>5.72</v>
      </c>
      <c r="K162">
        <v>28.6</v>
      </c>
    </row>
    <row r="163" spans="1:11" x14ac:dyDescent="0.3">
      <c r="A163">
        <v>1162</v>
      </c>
      <c r="B163" s="3" t="s">
        <v>297</v>
      </c>
      <c r="C163" s="1" t="s">
        <v>298</v>
      </c>
      <c r="D163" t="s">
        <v>42</v>
      </c>
      <c r="E163" t="s">
        <v>14</v>
      </c>
      <c r="F163" t="s">
        <v>28</v>
      </c>
      <c r="G163" t="s">
        <v>16</v>
      </c>
      <c r="H163" t="s">
        <v>17</v>
      </c>
      <c r="I163">
        <v>1</v>
      </c>
      <c r="J163">
        <v>2.77</v>
      </c>
      <c r="K163">
        <v>2.77</v>
      </c>
    </row>
    <row r="164" spans="1:11" x14ac:dyDescent="0.3">
      <c r="A164">
        <v>1163</v>
      </c>
      <c r="B164" s="3" t="s">
        <v>192</v>
      </c>
      <c r="C164" s="1" t="s">
        <v>299</v>
      </c>
      <c r="D164" t="s">
        <v>13</v>
      </c>
      <c r="E164" t="s">
        <v>27</v>
      </c>
      <c r="F164" t="s">
        <v>15</v>
      </c>
      <c r="G164" t="s">
        <v>22</v>
      </c>
      <c r="H164" t="s">
        <v>23</v>
      </c>
      <c r="I164">
        <v>4</v>
      </c>
      <c r="J164">
        <v>3.43</v>
      </c>
      <c r="K164">
        <v>13.72</v>
      </c>
    </row>
    <row r="165" spans="1:11" x14ac:dyDescent="0.3">
      <c r="A165">
        <v>1164</v>
      </c>
      <c r="B165" s="3" t="s">
        <v>300</v>
      </c>
      <c r="C165" s="1" t="s">
        <v>271</v>
      </c>
      <c r="D165" t="s">
        <v>13</v>
      </c>
      <c r="E165" t="s">
        <v>79</v>
      </c>
      <c r="F165" t="s">
        <v>28</v>
      </c>
      <c r="G165" t="s">
        <v>29</v>
      </c>
      <c r="H165" t="s">
        <v>52</v>
      </c>
      <c r="I165">
        <v>1</v>
      </c>
      <c r="J165">
        <v>5.35</v>
      </c>
      <c r="K165">
        <v>5.35</v>
      </c>
    </row>
    <row r="166" spans="1:11" x14ac:dyDescent="0.3">
      <c r="A166">
        <v>1165</v>
      </c>
      <c r="B166" s="3" t="s">
        <v>301</v>
      </c>
      <c r="C166" s="1" t="s">
        <v>302</v>
      </c>
      <c r="D166" t="s">
        <v>33</v>
      </c>
      <c r="E166" t="s">
        <v>14</v>
      </c>
      <c r="F166" t="s">
        <v>21</v>
      </c>
      <c r="G166" t="s">
        <v>22</v>
      </c>
      <c r="H166" t="s">
        <v>23</v>
      </c>
      <c r="I166">
        <v>3</v>
      </c>
      <c r="J166">
        <v>3.47</v>
      </c>
      <c r="K166">
        <v>10.41</v>
      </c>
    </row>
    <row r="167" spans="1:11" x14ac:dyDescent="0.3">
      <c r="A167">
        <v>1166</v>
      </c>
      <c r="B167" s="3" t="s">
        <v>303</v>
      </c>
      <c r="C167" s="1" t="s">
        <v>304</v>
      </c>
      <c r="D167" t="s">
        <v>26</v>
      </c>
      <c r="E167" t="s">
        <v>14</v>
      </c>
      <c r="F167" t="s">
        <v>28</v>
      </c>
      <c r="G167" t="s">
        <v>29</v>
      </c>
      <c r="H167" t="s">
        <v>30</v>
      </c>
      <c r="I167">
        <v>3</v>
      </c>
      <c r="J167">
        <v>4.5199999999999996</v>
      </c>
      <c r="K167">
        <v>13.56</v>
      </c>
    </row>
    <row r="168" spans="1:11" x14ac:dyDescent="0.3">
      <c r="A168">
        <v>1167</v>
      </c>
      <c r="B168" s="3" t="s">
        <v>305</v>
      </c>
      <c r="C168" s="1" t="s">
        <v>306</v>
      </c>
      <c r="D168" t="s">
        <v>48</v>
      </c>
      <c r="E168" t="s">
        <v>34</v>
      </c>
      <c r="F168" t="s">
        <v>21</v>
      </c>
      <c r="G168" t="s">
        <v>22</v>
      </c>
      <c r="H168" t="s">
        <v>23</v>
      </c>
      <c r="I168">
        <v>3</v>
      </c>
      <c r="J168">
        <v>2.7</v>
      </c>
      <c r="K168">
        <v>8.1</v>
      </c>
    </row>
    <row r="169" spans="1:11" x14ac:dyDescent="0.3">
      <c r="A169">
        <v>1168</v>
      </c>
      <c r="B169" s="3" t="s">
        <v>130</v>
      </c>
      <c r="C169" s="1" t="s">
        <v>307</v>
      </c>
      <c r="D169" t="s">
        <v>26</v>
      </c>
      <c r="E169" t="s">
        <v>20</v>
      </c>
      <c r="F169" t="s">
        <v>15</v>
      </c>
      <c r="G169" t="s">
        <v>70</v>
      </c>
      <c r="H169" t="s">
        <v>95</v>
      </c>
      <c r="I169">
        <v>1</v>
      </c>
      <c r="J169">
        <v>4.41</v>
      </c>
      <c r="K169">
        <v>4.41</v>
      </c>
    </row>
    <row r="170" spans="1:11" x14ac:dyDescent="0.3">
      <c r="A170">
        <v>1169</v>
      </c>
      <c r="B170" s="3" t="s">
        <v>308</v>
      </c>
      <c r="C170" s="1" t="s">
        <v>309</v>
      </c>
      <c r="D170" t="s">
        <v>42</v>
      </c>
      <c r="E170" t="s">
        <v>27</v>
      </c>
      <c r="F170" t="s">
        <v>15</v>
      </c>
      <c r="G170" t="s">
        <v>16</v>
      </c>
      <c r="H170" t="s">
        <v>17</v>
      </c>
      <c r="I170">
        <v>3</v>
      </c>
      <c r="J170">
        <v>4.8499999999999996</v>
      </c>
      <c r="K170">
        <v>14.55</v>
      </c>
    </row>
    <row r="171" spans="1:11" x14ac:dyDescent="0.3">
      <c r="A171">
        <v>1170</v>
      </c>
      <c r="B171" s="3" t="s">
        <v>310</v>
      </c>
      <c r="C171" s="1" t="s">
        <v>311</v>
      </c>
      <c r="D171" t="s">
        <v>48</v>
      </c>
      <c r="E171" t="s">
        <v>39</v>
      </c>
      <c r="F171" t="s">
        <v>28</v>
      </c>
      <c r="G171" t="s">
        <v>70</v>
      </c>
      <c r="H171" t="s">
        <v>71</v>
      </c>
      <c r="I171">
        <v>1</v>
      </c>
      <c r="J171">
        <v>5.09</v>
      </c>
      <c r="K171">
        <v>5.09</v>
      </c>
    </row>
    <row r="172" spans="1:11" x14ac:dyDescent="0.3">
      <c r="A172">
        <v>1171</v>
      </c>
      <c r="B172" s="3" t="s">
        <v>312</v>
      </c>
      <c r="C172" s="1" t="s">
        <v>313</v>
      </c>
      <c r="D172" t="s">
        <v>42</v>
      </c>
      <c r="E172" t="s">
        <v>79</v>
      </c>
      <c r="F172" t="s">
        <v>15</v>
      </c>
      <c r="G172" t="s">
        <v>70</v>
      </c>
      <c r="H172" t="s">
        <v>90</v>
      </c>
      <c r="I172">
        <v>4</v>
      </c>
      <c r="J172">
        <v>2.7</v>
      </c>
      <c r="K172">
        <v>10.8</v>
      </c>
    </row>
    <row r="173" spans="1:11" x14ac:dyDescent="0.3">
      <c r="A173">
        <v>1172</v>
      </c>
      <c r="B173" s="3" t="s">
        <v>290</v>
      </c>
      <c r="C173" s="1" t="s">
        <v>314</v>
      </c>
      <c r="D173" t="s">
        <v>33</v>
      </c>
      <c r="E173" t="s">
        <v>20</v>
      </c>
      <c r="F173" t="s">
        <v>21</v>
      </c>
      <c r="G173" t="s">
        <v>16</v>
      </c>
      <c r="H173" t="s">
        <v>17</v>
      </c>
      <c r="I173">
        <v>4</v>
      </c>
      <c r="J173">
        <v>3.37</v>
      </c>
      <c r="K173">
        <v>13.48</v>
      </c>
    </row>
    <row r="174" spans="1:11" x14ac:dyDescent="0.3">
      <c r="A174">
        <v>1173</v>
      </c>
      <c r="B174" s="3" t="s">
        <v>315</v>
      </c>
      <c r="C174" s="1" t="s">
        <v>316</v>
      </c>
      <c r="D174" t="s">
        <v>48</v>
      </c>
      <c r="E174" t="s">
        <v>39</v>
      </c>
      <c r="F174" t="s">
        <v>21</v>
      </c>
      <c r="G174" t="s">
        <v>29</v>
      </c>
      <c r="H174" t="s">
        <v>43</v>
      </c>
      <c r="I174">
        <v>2</v>
      </c>
      <c r="J174">
        <v>2.89</v>
      </c>
      <c r="K174">
        <v>5.78</v>
      </c>
    </row>
    <row r="175" spans="1:11" x14ac:dyDescent="0.3">
      <c r="A175">
        <v>1174</v>
      </c>
      <c r="B175" s="3" t="s">
        <v>205</v>
      </c>
      <c r="C175" s="1" t="s">
        <v>317</v>
      </c>
      <c r="D175" t="s">
        <v>38</v>
      </c>
      <c r="E175" t="s">
        <v>51</v>
      </c>
      <c r="F175" t="s">
        <v>28</v>
      </c>
      <c r="G175" t="s">
        <v>16</v>
      </c>
      <c r="H175" t="s">
        <v>17</v>
      </c>
      <c r="I175">
        <v>1</v>
      </c>
      <c r="J175">
        <v>4.93</v>
      </c>
      <c r="K175">
        <v>4.93</v>
      </c>
    </row>
    <row r="176" spans="1:11" x14ac:dyDescent="0.3">
      <c r="A176">
        <v>1175</v>
      </c>
      <c r="B176" s="3" t="s">
        <v>36</v>
      </c>
      <c r="C176" s="1" t="s">
        <v>161</v>
      </c>
      <c r="D176" t="s">
        <v>38</v>
      </c>
      <c r="E176" t="s">
        <v>39</v>
      </c>
      <c r="F176" t="s">
        <v>28</v>
      </c>
      <c r="G176" t="s">
        <v>29</v>
      </c>
      <c r="H176" t="s">
        <v>52</v>
      </c>
      <c r="I176">
        <v>2</v>
      </c>
      <c r="J176">
        <v>3.76</v>
      </c>
      <c r="K176">
        <v>7.52</v>
      </c>
    </row>
    <row r="177" spans="1:11" x14ac:dyDescent="0.3">
      <c r="A177">
        <v>1176</v>
      </c>
      <c r="B177" s="3" t="s">
        <v>240</v>
      </c>
      <c r="C177" s="1" t="s">
        <v>318</v>
      </c>
      <c r="D177" t="s">
        <v>48</v>
      </c>
      <c r="E177" t="s">
        <v>20</v>
      </c>
      <c r="F177" t="s">
        <v>15</v>
      </c>
      <c r="G177" t="s">
        <v>22</v>
      </c>
      <c r="H177" t="s">
        <v>23</v>
      </c>
      <c r="I177">
        <v>4</v>
      </c>
      <c r="J177">
        <v>5</v>
      </c>
      <c r="K177">
        <v>20</v>
      </c>
    </row>
    <row r="178" spans="1:11" x14ac:dyDescent="0.3">
      <c r="A178">
        <v>1177</v>
      </c>
      <c r="B178" s="3" t="s">
        <v>319</v>
      </c>
      <c r="C178" s="1" t="s">
        <v>320</v>
      </c>
      <c r="D178" t="s">
        <v>26</v>
      </c>
      <c r="E178" t="s">
        <v>39</v>
      </c>
      <c r="F178" t="s">
        <v>28</v>
      </c>
      <c r="G178" t="s">
        <v>29</v>
      </c>
      <c r="H178" t="s">
        <v>52</v>
      </c>
      <c r="I178">
        <v>1</v>
      </c>
      <c r="J178">
        <v>4.5199999999999996</v>
      </c>
      <c r="K178">
        <v>4.5199999999999996</v>
      </c>
    </row>
    <row r="179" spans="1:11" x14ac:dyDescent="0.3">
      <c r="A179">
        <v>1178</v>
      </c>
      <c r="B179" s="3" t="s">
        <v>321</v>
      </c>
      <c r="C179" s="1" t="s">
        <v>322</v>
      </c>
      <c r="D179" t="s">
        <v>33</v>
      </c>
      <c r="E179" t="s">
        <v>20</v>
      </c>
      <c r="F179" t="s">
        <v>21</v>
      </c>
      <c r="G179" t="s">
        <v>22</v>
      </c>
      <c r="H179" t="s">
        <v>23</v>
      </c>
      <c r="I179">
        <v>4</v>
      </c>
      <c r="J179">
        <v>5.42</v>
      </c>
      <c r="K179">
        <v>21.68</v>
      </c>
    </row>
    <row r="180" spans="1:11" x14ac:dyDescent="0.3">
      <c r="A180">
        <v>1179</v>
      </c>
      <c r="B180" s="3" t="s">
        <v>323</v>
      </c>
      <c r="C180" s="1" t="s">
        <v>105</v>
      </c>
      <c r="D180" t="s">
        <v>13</v>
      </c>
      <c r="E180" t="s">
        <v>51</v>
      </c>
      <c r="F180" t="s">
        <v>15</v>
      </c>
      <c r="G180" t="s">
        <v>22</v>
      </c>
      <c r="H180" t="s">
        <v>23</v>
      </c>
      <c r="I180">
        <v>2</v>
      </c>
      <c r="J180">
        <v>2.92</v>
      </c>
      <c r="K180">
        <v>5.84</v>
      </c>
    </row>
    <row r="181" spans="1:11" x14ac:dyDescent="0.3">
      <c r="A181">
        <v>1180</v>
      </c>
      <c r="B181" s="3" t="s">
        <v>36</v>
      </c>
      <c r="C181" s="1" t="s">
        <v>324</v>
      </c>
      <c r="D181" t="s">
        <v>38</v>
      </c>
      <c r="E181" t="s">
        <v>39</v>
      </c>
      <c r="F181" t="s">
        <v>28</v>
      </c>
      <c r="G181" t="s">
        <v>29</v>
      </c>
      <c r="H181" t="s">
        <v>57</v>
      </c>
      <c r="I181">
        <v>2</v>
      </c>
      <c r="J181">
        <v>3.68</v>
      </c>
      <c r="K181">
        <v>7.36</v>
      </c>
    </row>
    <row r="182" spans="1:11" x14ac:dyDescent="0.3">
      <c r="A182">
        <v>1181</v>
      </c>
      <c r="B182" s="3" t="s">
        <v>325</v>
      </c>
      <c r="C182" s="1" t="s">
        <v>267</v>
      </c>
      <c r="D182" t="s">
        <v>38</v>
      </c>
      <c r="E182" t="s">
        <v>27</v>
      </c>
      <c r="F182" t="s">
        <v>28</v>
      </c>
      <c r="G182" t="s">
        <v>29</v>
      </c>
      <c r="H182" t="s">
        <v>57</v>
      </c>
      <c r="I182">
        <v>2</v>
      </c>
      <c r="J182">
        <v>4.09</v>
      </c>
      <c r="K182">
        <v>8.18</v>
      </c>
    </row>
    <row r="183" spans="1:11" x14ac:dyDescent="0.3">
      <c r="A183">
        <v>1182</v>
      </c>
      <c r="B183" s="3" t="s">
        <v>326</v>
      </c>
      <c r="C183" s="1" t="s">
        <v>327</v>
      </c>
      <c r="D183" t="s">
        <v>33</v>
      </c>
      <c r="E183" t="s">
        <v>79</v>
      </c>
      <c r="F183" t="s">
        <v>28</v>
      </c>
      <c r="G183" t="s">
        <v>29</v>
      </c>
      <c r="H183" t="s">
        <v>43</v>
      </c>
      <c r="I183">
        <v>4</v>
      </c>
      <c r="J183">
        <v>5.52</v>
      </c>
      <c r="K183">
        <v>22.08</v>
      </c>
    </row>
    <row r="184" spans="1:11" x14ac:dyDescent="0.3">
      <c r="A184">
        <v>1183</v>
      </c>
      <c r="B184" s="3" t="s">
        <v>328</v>
      </c>
      <c r="C184" s="1" t="s">
        <v>329</v>
      </c>
      <c r="D184" t="s">
        <v>26</v>
      </c>
      <c r="E184" t="s">
        <v>34</v>
      </c>
      <c r="F184" t="s">
        <v>28</v>
      </c>
      <c r="G184" t="s">
        <v>70</v>
      </c>
      <c r="H184" t="s">
        <v>71</v>
      </c>
      <c r="I184">
        <v>3</v>
      </c>
      <c r="J184">
        <v>2.78</v>
      </c>
      <c r="K184">
        <v>8.34</v>
      </c>
    </row>
    <row r="185" spans="1:11" x14ac:dyDescent="0.3">
      <c r="A185">
        <v>1184</v>
      </c>
      <c r="B185" s="3" t="s">
        <v>197</v>
      </c>
      <c r="C185" s="1" t="s">
        <v>330</v>
      </c>
      <c r="D185" t="s">
        <v>33</v>
      </c>
      <c r="E185" t="s">
        <v>79</v>
      </c>
      <c r="F185" t="s">
        <v>28</v>
      </c>
      <c r="G185" t="s">
        <v>16</v>
      </c>
      <c r="H185" t="s">
        <v>35</v>
      </c>
      <c r="I185">
        <v>4</v>
      </c>
      <c r="J185">
        <v>4.6500000000000004</v>
      </c>
      <c r="K185">
        <v>18.600000000000001</v>
      </c>
    </row>
    <row r="186" spans="1:11" x14ac:dyDescent="0.3">
      <c r="A186">
        <v>1185</v>
      </c>
      <c r="B186" s="3" t="s">
        <v>218</v>
      </c>
      <c r="C186" s="1" t="s">
        <v>331</v>
      </c>
      <c r="D186" t="s">
        <v>38</v>
      </c>
      <c r="E186" t="s">
        <v>20</v>
      </c>
      <c r="F186" t="s">
        <v>15</v>
      </c>
      <c r="G186" t="s">
        <v>29</v>
      </c>
      <c r="H186" t="s">
        <v>52</v>
      </c>
      <c r="I186">
        <v>1</v>
      </c>
      <c r="J186">
        <v>2.4300000000000002</v>
      </c>
      <c r="K186">
        <v>2.4300000000000002</v>
      </c>
    </row>
    <row r="187" spans="1:11" x14ac:dyDescent="0.3">
      <c r="A187">
        <v>1186</v>
      </c>
      <c r="B187" s="3" t="s">
        <v>141</v>
      </c>
      <c r="C187" s="1" t="s">
        <v>332</v>
      </c>
      <c r="D187" t="s">
        <v>48</v>
      </c>
      <c r="E187" t="s">
        <v>14</v>
      </c>
      <c r="F187" t="s">
        <v>21</v>
      </c>
      <c r="G187" t="s">
        <v>16</v>
      </c>
      <c r="H187" t="s">
        <v>35</v>
      </c>
      <c r="I187">
        <v>2</v>
      </c>
      <c r="J187">
        <v>5.13</v>
      </c>
      <c r="K187">
        <v>10.26</v>
      </c>
    </row>
    <row r="188" spans="1:11" x14ac:dyDescent="0.3">
      <c r="A188">
        <v>1187</v>
      </c>
      <c r="B188" s="3" t="s">
        <v>240</v>
      </c>
      <c r="C188" s="1" t="s">
        <v>333</v>
      </c>
      <c r="D188" t="s">
        <v>48</v>
      </c>
      <c r="E188" t="s">
        <v>20</v>
      </c>
      <c r="F188" t="s">
        <v>15</v>
      </c>
      <c r="G188" t="s">
        <v>22</v>
      </c>
      <c r="H188" t="s">
        <v>23</v>
      </c>
      <c r="I188">
        <v>4</v>
      </c>
      <c r="J188">
        <v>4.17</v>
      </c>
      <c r="K188">
        <v>16.68</v>
      </c>
    </row>
    <row r="189" spans="1:11" x14ac:dyDescent="0.3">
      <c r="A189">
        <v>1188</v>
      </c>
      <c r="B189" s="3" t="s">
        <v>334</v>
      </c>
      <c r="C189" s="1" t="s">
        <v>335</v>
      </c>
      <c r="D189" t="s">
        <v>38</v>
      </c>
      <c r="E189" t="s">
        <v>14</v>
      </c>
      <c r="F189" t="s">
        <v>15</v>
      </c>
      <c r="G189" t="s">
        <v>29</v>
      </c>
      <c r="H189" t="s">
        <v>43</v>
      </c>
      <c r="I189">
        <v>2</v>
      </c>
      <c r="J189">
        <v>4.9800000000000004</v>
      </c>
      <c r="K189">
        <v>9.9600000000000009</v>
      </c>
    </row>
    <row r="190" spans="1:11" x14ac:dyDescent="0.3">
      <c r="A190">
        <v>1189</v>
      </c>
      <c r="B190" s="3" t="s">
        <v>112</v>
      </c>
      <c r="C190" s="1" t="s">
        <v>336</v>
      </c>
      <c r="D190" t="s">
        <v>48</v>
      </c>
      <c r="E190" t="s">
        <v>14</v>
      </c>
      <c r="F190" t="s">
        <v>28</v>
      </c>
      <c r="G190" t="s">
        <v>16</v>
      </c>
      <c r="H190" t="s">
        <v>76</v>
      </c>
      <c r="I190">
        <v>3</v>
      </c>
      <c r="J190">
        <v>5.29</v>
      </c>
      <c r="K190">
        <v>15.87</v>
      </c>
    </row>
    <row r="191" spans="1:11" x14ac:dyDescent="0.3">
      <c r="A191">
        <v>1190</v>
      </c>
      <c r="B191" s="3" t="s">
        <v>72</v>
      </c>
      <c r="C191" s="1" t="s">
        <v>337</v>
      </c>
      <c r="D191" t="s">
        <v>13</v>
      </c>
      <c r="E191" t="s">
        <v>39</v>
      </c>
      <c r="F191" t="s">
        <v>21</v>
      </c>
      <c r="G191" t="s">
        <v>29</v>
      </c>
      <c r="H191" t="s">
        <v>57</v>
      </c>
      <c r="I191">
        <v>5</v>
      </c>
      <c r="J191">
        <v>5.19</v>
      </c>
      <c r="K191">
        <v>25.95</v>
      </c>
    </row>
    <row r="192" spans="1:11" x14ac:dyDescent="0.3">
      <c r="A192">
        <v>1191</v>
      </c>
      <c r="B192" s="3" t="s">
        <v>55</v>
      </c>
      <c r="C192" s="1" t="s">
        <v>338</v>
      </c>
      <c r="D192" t="s">
        <v>38</v>
      </c>
      <c r="E192" t="s">
        <v>20</v>
      </c>
      <c r="F192" t="s">
        <v>21</v>
      </c>
      <c r="G192" t="s">
        <v>29</v>
      </c>
      <c r="H192" t="s">
        <v>30</v>
      </c>
      <c r="I192">
        <v>5</v>
      </c>
      <c r="J192">
        <v>2.69</v>
      </c>
      <c r="K192">
        <v>13.45</v>
      </c>
    </row>
    <row r="193" spans="1:11" x14ac:dyDescent="0.3">
      <c r="A193">
        <v>1192</v>
      </c>
      <c r="B193" s="3" t="s">
        <v>156</v>
      </c>
      <c r="C193" s="1" t="s">
        <v>339</v>
      </c>
      <c r="D193" t="s">
        <v>26</v>
      </c>
      <c r="E193" t="s">
        <v>14</v>
      </c>
      <c r="F193" t="s">
        <v>21</v>
      </c>
      <c r="G193" t="s">
        <v>29</v>
      </c>
      <c r="H193" t="s">
        <v>57</v>
      </c>
      <c r="I193">
        <v>1</v>
      </c>
      <c r="J193">
        <v>3.72</v>
      </c>
      <c r="K193">
        <v>3.72</v>
      </c>
    </row>
    <row r="194" spans="1:11" x14ac:dyDescent="0.3">
      <c r="A194">
        <v>1193</v>
      </c>
      <c r="B194" s="3" t="s">
        <v>218</v>
      </c>
      <c r="C194" s="1" t="s">
        <v>329</v>
      </c>
      <c r="D194" t="s">
        <v>38</v>
      </c>
      <c r="E194" t="s">
        <v>20</v>
      </c>
      <c r="F194" t="s">
        <v>15</v>
      </c>
      <c r="G194" t="s">
        <v>16</v>
      </c>
      <c r="H194" t="s">
        <v>17</v>
      </c>
      <c r="I194">
        <v>3</v>
      </c>
      <c r="J194">
        <v>4.05</v>
      </c>
      <c r="K194">
        <v>12.15</v>
      </c>
    </row>
    <row r="195" spans="1:11" x14ac:dyDescent="0.3">
      <c r="A195">
        <v>1194</v>
      </c>
      <c r="B195" s="3" t="s">
        <v>340</v>
      </c>
      <c r="C195" s="1" t="s">
        <v>341</v>
      </c>
      <c r="D195" t="s">
        <v>26</v>
      </c>
      <c r="E195" t="s">
        <v>39</v>
      </c>
      <c r="F195" t="s">
        <v>15</v>
      </c>
      <c r="G195" t="s">
        <v>70</v>
      </c>
      <c r="H195" t="s">
        <v>90</v>
      </c>
      <c r="I195">
        <v>2</v>
      </c>
      <c r="J195">
        <v>3.49</v>
      </c>
      <c r="K195">
        <v>6.98</v>
      </c>
    </row>
    <row r="196" spans="1:11" x14ac:dyDescent="0.3">
      <c r="A196">
        <v>1195</v>
      </c>
      <c r="B196" s="3" t="s">
        <v>126</v>
      </c>
      <c r="C196" s="1" t="s">
        <v>342</v>
      </c>
      <c r="D196" t="s">
        <v>26</v>
      </c>
      <c r="E196" t="s">
        <v>14</v>
      </c>
      <c r="F196" t="s">
        <v>15</v>
      </c>
      <c r="G196" t="s">
        <v>70</v>
      </c>
      <c r="H196" t="s">
        <v>71</v>
      </c>
      <c r="I196">
        <v>2</v>
      </c>
      <c r="J196">
        <v>3.45</v>
      </c>
      <c r="K196">
        <v>6.9</v>
      </c>
    </row>
    <row r="197" spans="1:11" x14ac:dyDescent="0.3">
      <c r="A197">
        <v>1196</v>
      </c>
      <c r="B197" s="3" t="s">
        <v>181</v>
      </c>
      <c r="C197" s="1" t="s">
        <v>168</v>
      </c>
      <c r="D197" t="s">
        <v>26</v>
      </c>
      <c r="E197" t="s">
        <v>20</v>
      </c>
      <c r="F197" t="s">
        <v>21</v>
      </c>
      <c r="G197" t="s">
        <v>29</v>
      </c>
      <c r="H197" t="s">
        <v>43</v>
      </c>
      <c r="I197">
        <v>1</v>
      </c>
      <c r="J197">
        <v>3.63</v>
      </c>
      <c r="K197">
        <v>3.63</v>
      </c>
    </row>
    <row r="198" spans="1:11" x14ac:dyDescent="0.3">
      <c r="A198">
        <v>1197</v>
      </c>
      <c r="B198" s="3" t="s">
        <v>197</v>
      </c>
      <c r="C198" s="1" t="s">
        <v>343</v>
      </c>
      <c r="D198" t="s">
        <v>33</v>
      </c>
      <c r="E198" t="s">
        <v>79</v>
      </c>
      <c r="F198" t="s">
        <v>21</v>
      </c>
      <c r="G198" t="s">
        <v>29</v>
      </c>
      <c r="H198" t="s">
        <v>57</v>
      </c>
      <c r="I198">
        <v>5</v>
      </c>
      <c r="J198">
        <v>4.79</v>
      </c>
      <c r="K198">
        <v>23.95</v>
      </c>
    </row>
    <row r="199" spans="1:11" x14ac:dyDescent="0.3">
      <c r="A199">
        <v>1198</v>
      </c>
      <c r="B199" s="3" t="s">
        <v>66</v>
      </c>
      <c r="C199" s="1" t="s">
        <v>344</v>
      </c>
      <c r="D199" t="s">
        <v>42</v>
      </c>
      <c r="E199" t="s">
        <v>39</v>
      </c>
      <c r="F199" t="s">
        <v>15</v>
      </c>
      <c r="G199" t="s">
        <v>70</v>
      </c>
      <c r="H199" t="s">
        <v>90</v>
      </c>
      <c r="I199">
        <v>4</v>
      </c>
      <c r="J199">
        <v>3.67</v>
      </c>
      <c r="K199">
        <v>14.68</v>
      </c>
    </row>
    <row r="200" spans="1:11" x14ac:dyDescent="0.3">
      <c r="A200">
        <v>1199</v>
      </c>
      <c r="B200" s="3" t="s">
        <v>68</v>
      </c>
      <c r="C200" s="1" t="s">
        <v>345</v>
      </c>
      <c r="D200" t="s">
        <v>13</v>
      </c>
      <c r="E200" t="s">
        <v>27</v>
      </c>
      <c r="F200" t="s">
        <v>21</v>
      </c>
      <c r="G200" t="s">
        <v>22</v>
      </c>
      <c r="H200" t="s">
        <v>23</v>
      </c>
      <c r="I200">
        <v>3</v>
      </c>
      <c r="J200">
        <v>2.0499999999999998</v>
      </c>
      <c r="K200">
        <v>6.15</v>
      </c>
    </row>
    <row r="201" spans="1:11" x14ac:dyDescent="0.3">
      <c r="A201">
        <v>1200</v>
      </c>
      <c r="B201" s="3" t="s">
        <v>346</v>
      </c>
      <c r="C201" s="1" t="s">
        <v>347</v>
      </c>
      <c r="D201" t="s">
        <v>48</v>
      </c>
      <c r="E201" t="s">
        <v>51</v>
      </c>
      <c r="F201" t="s">
        <v>21</v>
      </c>
      <c r="G201" t="s">
        <v>22</v>
      </c>
      <c r="H201" t="s">
        <v>23</v>
      </c>
      <c r="I201">
        <v>2</v>
      </c>
      <c r="J201">
        <v>5.0199999999999996</v>
      </c>
      <c r="K201">
        <v>10.039999999999999</v>
      </c>
    </row>
    <row r="202" spans="1:11" x14ac:dyDescent="0.3">
      <c r="A202">
        <v>1201</v>
      </c>
      <c r="B202" s="3" t="s">
        <v>348</v>
      </c>
      <c r="C202" s="1" t="s">
        <v>349</v>
      </c>
      <c r="D202" t="s">
        <v>13</v>
      </c>
      <c r="E202" t="s">
        <v>14</v>
      </c>
      <c r="F202" t="s">
        <v>15</v>
      </c>
      <c r="G202" t="s">
        <v>29</v>
      </c>
      <c r="H202" t="s">
        <v>30</v>
      </c>
      <c r="I202">
        <v>5</v>
      </c>
      <c r="J202">
        <v>5.15</v>
      </c>
      <c r="K202">
        <v>25.75</v>
      </c>
    </row>
    <row r="203" spans="1:11" x14ac:dyDescent="0.3">
      <c r="A203">
        <v>1202</v>
      </c>
      <c r="B203" s="3" t="s">
        <v>350</v>
      </c>
      <c r="C203" s="1" t="s">
        <v>351</v>
      </c>
      <c r="D203" t="s">
        <v>48</v>
      </c>
      <c r="E203" t="s">
        <v>51</v>
      </c>
      <c r="F203" t="s">
        <v>28</v>
      </c>
      <c r="G203" t="s">
        <v>29</v>
      </c>
      <c r="H203" t="s">
        <v>52</v>
      </c>
      <c r="I203">
        <v>1</v>
      </c>
      <c r="J203">
        <v>3.16</v>
      </c>
      <c r="K203">
        <v>3.16</v>
      </c>
    </row>
    <row r="204" spans="1:11" x14ac:dyDescent="0.3">
      <c r="A204">
        <v>1203</v>
      </c>
      <c r="B204" s="3" t="s">
        <v>110</v>
      </c>
      <c r="C204" s="1" t="s">
        <v>352</v>
      </c>
      <c r="D204" t="s">
        <v>26</v>
      </c>
      <c r="E204" t="s">
        <v>51</v>
      </c>
      <c r="F204" t="s">
        <v>21</v>
      </c>
      <c r="G204" t="s">
        <v>22</v>
      </c>
      <c r="H204" t="s">
        <v>23</v>
      </c>
      <c r="I204">
        <v>2</v>
      </c>
      <c r="J204">
        <v>3.97</v>
      </c>
      <c r="K204">
        <v>7.94</v>
      </c>
    </row>
    <row r="205" spans="1:11" x14ac:dyDescent="0.3">
      <c r="A205">
        <v>1204</v>
      </c>
      <c r="B205" s="3" t="s">
        <v>350</v>
      </c>
      <c r="C205" s="1" t="s">
        <v>241</v>
      </c>
      <c r="D205" t="s">
        <v>48</v>
      </c>
      <c r="E205" t="s">
        <v>51</v>
      </c>
      <c r="F205" t="s">
        <v>15</v>
      </c>
      <c r="G205" t="s">
        <v>16</v>
      </c>
      <c r="H205" t="s">
        <v>17</v>
      </c>
      <c r="I205">
        <v>4</v>
      </c>
      <c r="J205">
        <v>4.72</v>
      </c>
      <c r="K205">
        <v>18.88</v>
      </c>
    </row>
    <row r="206" spans="1:11" x14ac:dyDescent="0.3">
      <c r="A206">
        <v>1205</v>
      </c>
      <c r="B206" s="3" t="s">
        <v>353</v>
      </c>
      <c r="C206" s="1" t="s">
        <v>354</v>
      </c>
      <c r="D206" t="s">
        <v>42</v>
      </c>
      <c r="E206" t="s">
        <v>27</v>
      </c>
      <c r="F206" t="s">
        <v>15</v>
      </c>
      <c r="G206" t="s">
        <v>16</v>
      </c>
      <c r="H206" t="s">
        <v>76</v>
      </c>
      <c r="I206">
        <v>2</v>
      </c>
      <c r="J206">
        <v>5.24</v>
      </c>
      <c r="K206">
        <v>10.48</v>
      </c>
    </row>
    <row r="207" spans="1:11" x14ac:dyDescent="0.3">
      <c r="A207">
        <v>1206</v>
      </c>
      <c r="B207" s="3" t="s">
        <v>355</v>
      </c>
      <c r="C207" s="1" t="s">
        <v>356</v>
      </c>
      <c r="D207" t="s">
        <v>38</v>
      </c>
      <c r="E207" t="s">
        <v>39</v>
      </c>
      <c r="F207" t="s">
        <v>28</v>
      </c>
      <c r="G207" t="s">
        <v>29</v>
      </c>
      <c r="H207" t="s">
        <v>57</v>
      </c>
      <c r="I207">
        <v>5</v>
      </c>
      <c r="J207">
        <v>4.08</v>
      </c>
      <c r="K207">
        <v>20.399999999999999</v>
      </c>
    </row>
    <row r="208" spans="1:11" x14ac:dyDescent="0.3">
      <c r="A208">
        <v>1207</v>
      </c>
      <c r="B208" s="3" t="s">
        <v>137</v>
      </c>
      <c r="C208" s="1" t="s">
        <v>357</v>
      </c>
      <c r="D208" t="s">
        <v>33</v>
      </c>
      <c r="E208" t="s">
        <v>51</v>
      </c>
      <c r="F208" t="s">
        <v>21</v>
      </c>
      <c r="G208" t="s">
        <v>70</v>
      </c>
      <c r="H208" t="s">
        <v>90</v>
      </c>
      <c r="I208">
        <v>1</v>
      </c>
      <c r="J208">
        <v>5.19</v>
      </c>
      <c r="K208">
        <v>5.19</v>
      </c>
    </row>
    <row r="209" spans="1:11" x14ac:dyDescent="0.3">
      <c r="A209">
        <v>1208</v>
      </c>
      <c r="B209" s="3" t="s">
        <v>358</v>
      </c>
      <c r="C209" s="1" t="s">
        <v>359</v>
      </c>
      <c r="D209" t="s">
        <v>38</v>
      </c>
      <c r="E209" t="s">
        <v>39</v>
      </c>
      <c r="F209" t="s">
        <v>21</v>
      </c>
      <c r="G209" t="s">
        <v>70</v>
      </c>
      <c r="H209" t="s">
        <v>95</v>
      </c>
      <c r="I209">
        <v>3</v>
      </c>
      <c r="J209">
        <v>4.99</v>
      </c>
      <c r="K209">
        <v>14.97</v>
      </c>
    </row>
    <row r="210" spans="1:11" x14ac:dyDescent="0.3">
      <c r="A210">
        <v>1209</v>
      </c>
      <c r="B210" s="3" t="s">
        <v>62</v>
      </c>
      <c r="C210" s="1" t="s">
        <v>255</v>
      </c>
      <c r="D210" t="s">
        <v>33</v>
      </c>
      <c r="E210" t="s">
        <v>39</v>
      </c>
      <c r="F210" t="s">
        <v>15</v>
      </c>
      <c r="G210" t="s">
        <v>29</v>
      </c>
      <c r="H210" t="s">
        <v>30</v>
      </c>
      <c r="I210">
        <v>1</v>
      </c>
      <c r="J210">
        <v>2.82</v>
      </c>
      <c r="K210">
        <v>2.82</v>
      </c>
    </row>
    <row r="211" spans="1:11" x14ac:dyDescent="0.3">
      <c r="A211">
        <v>1210</v>
      </c>
      <c r="B211" s="3" t="s">
        <v>64</v>
      </c>
      <c r="C211" s="1" t="s">
        <v>360</v>
      </c>
      <c r="D211" t="s">
        <v>48</v>
      </c>
      <c r="E211" t="s">
        <v>39</v>
      </c>
      <c r="F211" t="s">
        <v>15</v>
      </c>
      <c r="G211" t="s">
        <v>22</v>
      </c>
      <c r="H211" t="s">
        <v>23</v>
      </c>
      <c r="I211">
        <v>5</v>
      </c>
      <c r="J211">
        <v>2.0099999999999998</v>
      </c>
      <c r="K211">
        <v>10.050000000000001</v>
      </c>
    </row>
    <row r="212" spans="1:11" x14ac:dyDescent="0.3">
      <c r="A212">
        <v>1211</v>
      </c>
      <c r="B212" s="3" t="s">
        <v>325</v>
      </c>
      <c r="C212" s="1" t="s">
        <v>244</v>
      </c>
      <c r="D212" t="s">
        <v>38</v>
      </c>
      <c r="E212" t="s">
        <v>27</v>
      </c>
      <c r="F212" t="s">
        <v>15</v>
      </c>
      <c r="G212" t="s">
        <v>29</v>
      </c>
      <c r="H212" t="s">
        <v>52</v>
      </c>
      <c r="I212">
        <v>4</v>
      </c>
      <c r="J212">
        <v>2.46</v>
      </c>
      <c r="K212">
        <v>9.84</v>
      </c>
    </row>
    <row r="213" spans="1:11" x14ac:dyDescent="0.3">
      <c r="A213">
        <v>1212</v>
      </c>
      <c r="B213" s="3" t="s">
        <v>262</v>
      </c>
      <c r="C213" s="1" t="s">
        <v>361</v>
      </c>
      <c r="D213" t="s">
        <v>33</v>
      </c>
      <c r="E213" t="s">
        <v>39</v>
      </c>
      <c r="F213" t="s">
        <v>28</v>
      </c>
      <c r="G213" t="s">
        <v>16</v>
      </c>
      <c r="H213" t="s">
        <v>35</v>
      </c>
      <c r="I213">
        <v>5</v>
      </c>
      <c r="J213">
        <v>2.19</v>
      </c>
      <c r="K213">
        <v>10.95</v>
      </c>
    </row>
    <row r="214" spans="1:11" x14ac:dyDescent="0.3">
      <c r="A214">
        <v>1213</v>
      </c>
      <c r="B214" s="3" t="s">
        <v>11</v>
      </c>
      <c r="C214" s="1" t="s">
        <v>362</v>
      </c>
      <c r="D214" t="s">
        <v>13</v>
      </c>
      <c r="E214" t="s">
        <v>14</v>
      </c>
      <c r="F214" t="s">
        <v>15</v>
      </c>
      <c r="G214" t="s">
        <v>29</v>
      </c>
      <c r="H214" t="s">
        <v>57</v>
      </c>
      <c r="I214">
        <v>3</v>
      </c>
      <c r="J214">
        <v>3.21</v>
      </c>
      <c r="K214">
        <v>9.6300000000000008</v>
      </c>
    </row>
    <row r="215" spans="1:11" x14ac:dyDescent="0.3">
      <c r="A215">
        <v>1214</v>
      </c>
      <c r="B215" s="3" t="s">
        <v>363</v>
      </c>
      <c r="C215" s="1" t="s">
        <v>364</v>
      </c>
      <c r="D215" t="s">
        <v>26</v>
      </c>
      <c r="E215" t="s">
        <v>34</v>
      </c>
      <c r="F215" t="s">
        <v>15</v>
      </c>
      <c r="G215" t="s">
        <v>16</v>
      </c>
      <c r="H215" t="s">
        <v>76</v>
      </c>
      <c r="I215">
        <v>2</v>
      </c>
      <c r="J215">
        <v>5.71</v>
      </c>
      <c r="K215">
        <v>11.42</v>
      </c>
    </row>
    <row r="216" spans="1:11" x14ac:dyDescent="0.3">
      <c r="A216">
        <v>1215</v>
      </c>
      <c r="B216" s="3" t="s">
        <v>31</v>
      </c>
      <c r="C216" s="1" t="s">
        <v>365</v>
      </c>
      <c r="D216" t="s">
        <v>33</v>
      </c>
      <c r="E216" t="s">
        <v>34</v>
      </c>
      <c r="F216" t="s">
        <v>28</v>
      </c>
      <c r="G216" t="s">
        <v>16</v>
      </c>
      <c r="H216" t="s">
        <v>17</v>
      </c>
      <c r="I216">
        <v>5</v>
      </c>
      <c r="J216">
        <v>4.04</v>
      </c>
      <c r="K216">
        <v>20.2</v>
      </c>
    </row>
    <row r="217" spans="1:11" x14ac:dyDescent="0.3">
      <c r="A217">
        <v>1216</v>
      </c>
      <c r="B217" s="3" t="s">
        <v>366</v>
      </c>
      <c r="C217" s="1" t="s">
        <v>367</v>
      </c>
      <c r="D217" t="s">
        <v>38</v>
      </c>
      <c r="E217" t="s">
        <v>51</v>
      </c>
      <c r="F217" t="s">
        <v>28</v>
      </c>
      <c r="G217" t="s">
        <v>70</v>
      </c>
      <c r="H217" t="s">
        <v>95</v>
      </c>
      <c r="I217">
        <v>5</v>
      </c>
      <c r="J217">
        <v>3.05</v>
      </c>
      <c r="K217">
        <v>15.25</v>
      </c>
    </row>
    <row r="218" spans="1:11" x14ac:dyDescent="0.3">
      <c r="A218">
        <v>1217</v>
      </c>
      <c r="B218" s="3" t="s">
        <v>368</v>
      </c>
      <c r="C218" s="1" t="s">
        <v>94</v>
      </c>
      <c r="D218" t="s">
        <v>38</v>
      </c>
      <c r="E218" t="s">
        <v>27</v>
      </c>
      <c r="F218" t="s">
        <v>21</v>
      </c>
      <c r="G218" t="s">
        <v>70</v>
      </c>
      <c r="H218" t="s">
        <v>95</v>
      </c>
      <c r="I218">
        <v>5</v>
      </c>
      <c r="J218">
        <v>5.61</v>
      </c>
      <c r="K218">
        <v>28.05</v>
      </c>
    </row>
    <row r="219" spans="1:11" x14ac:dyDescent="0.3">
      <c r="A219">
        <v>1218</v>
      </c>
      <c r="B219" s="3" t="s">
        <v>232</v>
      </c>
      <c r="C219" s="1" t="s">
        <v>369</v>
      </c>
      <c r="D219" t="s">
        <v>42</v>
      </c>
      <c r="E219" t="s">
        <v>51</v>
      </c>
      <c r="F219" t="s">
        <v>15</v>
      </c>
      <c r="G219" t="s">
        <v>29</v>
      </c>
      <c r="H219" t="s">
        <v>52</v>
      </c>
      <c r="I219">
        <v>2</v>
      </c>
      <c r="J219">
        <v>5.76</v>
      </c>
      <c r="K219">
        <v>11.52</v>
      </c>
    </row>
    <row r="220" spans="1:11" x14ac:dyDescent="0.3">
      <c r="A220">
        <v>1219</v>
      </c>
      <c r="B220" s="3" t="s">
        <v>156</v>
      </c>
      <c r="C220" s="1" t="s">
        <v>370</v>
      </c>
      <c r="D220" t="s">
        <v>26</v>
      </c>
      <c r="E220" t="s">
        <v>14</v>
      </c>
      <c r="F220" t="s">
        <v>28</v>
      </c>
      <c r="G220" t="s">
        <v>29</v>
      </c>
      <c r="H220" t="s">
        <v>30</v>
      </c>
      <c r="I220">
        <v>3</v>
      </c>
      <c r="J220">
        <v>2.86</v>
      </c>
      <c r="K220">
        <v>8.58</v>
      </c>
    </row>
    <row r="221" spans="1:11" x14ac:dyDescent="0.3">
      <c r="A221">
        <v>1220</v>
      </c>
      <c r="B221" s="3" t="s">
        <v>371</v>
      </c>
      <c r="C221" s="1" t="s">
        <v>94</v>
      </c>
      <c r="D221" t="s">
        <v>13</v>
      </c>
      <c r="E221" t="s">
        <v>20</v>
      </c>
      <c r="F221" t="s">
        <v>15</v>
      </c>
      <c r="G221" t="s">
        <v>22</v>
      </c>
      <c r="H221" t="s">
        <v>23</v>
      </c>
      <c r="I221">
        <v>3</v>
      </c>
      <c r="J221">
        <v>3.89</v>
      </c>
      <c r="K221">
        <v>11.67</v>
      </c>
    </row>
    <row r="222" spans="1:11" x14ac:dyDescent="0.3">
      <c r="A222">
        <v>1221</v>
      </c>
      <c r="B222" s="3" t="s">
        <v>303</v>
      </c>
      <c r="C222" s="1" t="s">
        <v>99</v>
      </c>
      <c r="D222" t="s">
        <v>26</v>
      </c>
      <c r="E222" t="s">
        <v>14</v>
      </c>
      <c r="F222" t="s">
        <v>21</v>
      </c>
      <c r="G222" t="s">
        <v>29</v>
      </c>
      <c r="H222" t="s">
        <v>30</v>
      </c>
      <c r="I222">
        <v>4</v>
      </c>
      <c r="J222">
        <v>4.4000000000000004</v>
      </c>
      <c r="K222">
        <v>17.600000000000001</v>
      </c>
    </row>
    <row r="223" spans="1:11" x14ac:dyDescent="0.3">
      <c r="A223">
        <v>1222</v>
      </c>
      <c r="B223" s="3" t="s">
        <v>372</v>
      </c>
      <c r="C223" s="1" t="s">
        <v>373</v>
      </c>
      <c r="D223" t="s">
        <v>42</v>
      </c>
      <c r="E223" t="s">
        <v>34</v>
      </c>
      <c r="F223" t="s">
        <v>21</v>
      </c>
      <c r="G223" t="s">
        <v>16</v>
      </c>
      <c r="H223" t="s">
        <v>17</v>
      </c>
      <c r="I223">
        <v>3</v>
      </c>
      <c r="J223">
        <v>2.4500000000000002</v>
      </c>
      <c r="K223">
        <v>7.35</v>
      </c>
    </row>
    <row r="224" spans="1:11" x14ac:dyDescent="0.3">
      <c r="A224">
        <v>1223</v>
      </c>
      <c r="B224" s="3" t="s">
        <v>301</v>
      </c>
      <c r="C224" s="1" t="s">
        <v>374</v>
      </c>
      <c r="D224" t="s">
        <v>33</v>
      </c>
      <c r="E224" t="s">
        <v>14</v>
      </c>
      <c r="F224" t="s">
        <v>21</v>
      </c>
      <c r="G224" t="s">
        <v>16</v>
      </c>
      <c r="H224" t="s">
        <v>35</v>
      </c>
      <c r="I224">
        <v>2</v>
      </c>
      <c r="J224">
        <v>2.82</v>
      </c>
      <c r="K224">
        <v>5.64</v>
      </c>
    </row>
    <row r="225" spans="1:11" x14ac:dyDescent="0.3">
      <c r="A225">
        <v>1224</v>
      </c>
      <c r="B225" s="3" t="s">
        <v>221</v>
      </c>
      <c r="C225" s="1" t="s">
        <v>311</v>
      </c>
      <c r="D225" t="s">
        <v>13</v>
      </c>
      <c r="E225" t="s">
        <v>34</v>
      </c>
      <c r="F225" t="s">
        <v>15</v>
      </c>
      <c r="G225" t="s">
        <v>16</v>
      </c>
      <c r="H225" t="s">
        <v>76</v>
      </c>
      <c r="I225">
        <v>5</v>
      </c>
      <c r="J225">
        <v>4.5599999999999996</v>
      </c>
      <c r="K225">
        <v>22.8</v>
      </c>
    </row>
    <row r="226" spans="1:11" x14ac:dyDescent="0.3">
      <c r="A226">
        <v>1225</v>
      </c>
      <c r="B226" s="3" t="s">
        <v>375</v>
      </c>
      <c r="C226" s="1" t="s">
        <v>376</v>
      </c>
      <c r="D226" t="s">
        <v>42</v>
      </c>
      <c r="E226" t="s">
        <v>20</v>
      </c>
      <c r="F226" t="s">
        <v>21</v>
      </c>
      <c r="G226" t="s">
        <v>16</v>
      </c>
      <c r="H226" t="s">
        <v>17</v>
      </c>
      <c r="I226">
        <v>1</v>
      </c>
      <c r="J226">
        <v>5.55</v>
      </c>
      <c r="K226">
        <v>5.55</v>
      </c>
    </row>
    <row r="227" spans="1:11" x14ac:dyDescent="0.3">
      <c r="A227">
        <v>1226</v>
      </c>
      <c r="B227" s="3" t="s">
        <v>301</v>
      </c>
      <c r="C227" s="1" t="s">
        <v>377</v>
      </c>
      <c r="D227" t="s">
        <v>33</v>
      </c>
      <c r="E227" t="s">
        <v>14</v>
      </c>
      <c r="F227" t="s">
        <v>28</v>
      </c>
      <c r="G227" t="s">
        <v>16</v>
      </c>
      <c r="H227" t="s">
        <v>35</v>
      </c>
      <c r="I227">
        <v>4</v>
      </c>
      <c r="J227">
        <v>4.41</v>
      </c>
      <c r="K227">
        <v>17.64</v>
      </c>
    </row>
    <row r="228" spans="1:11" x14ac:dyDescent="0.3">
      <c r="A228">
        <v>1227</v>
      </c>
      <c r="B228" s="3" t="s">
        <v>147</v>
      </c>
      <c r="C228" s="1" t="s">
        <v>193</v>
      </c>
      <c r="D228" t="s">
        <v>26</v>
      </c>
      <c r="E228" t="s">
        <v>34</v>
      </c>
      <c r="F228" t="s">
        <v>15</v>
      </c>
      <c r="G228" t="s">
        <v>22</v>
      </c>
      <c r="H228" t="s">
        <v>23</v>
      </c>
      <c r="I228">
        <v>3</v>
      </c>
      <c r="J228">
        <v>5.25</v>
      </c>
      <c r="K228">
        <v>15.75</v>
      </c>
    </row>
    <row r="229" spans="1:11" x14ac:dyDescent="0.3">
      <c r="A229">
        <v>1228</v>
      </c>
      <c r="B229" s="3" t="s">
        <v>378</v>
      </c>
      <c r="C229" s="1" t="s">
        <v>379</v>
      </c>
      <c r="D229" t="s">
        <v>48</v>
      </c>
      <c r="E229" t="s">
        <v>34</v>
      </c>
      <c r="F229" t="s">
        <v>28</v>
      </c>
      <c r="G229" t="s">
        <v>16</v>
      </c>
      <c r="H229" t="s">
        <v>17</v>
      </c>
      <c r="I229">
        <v>5</v>
      </c>
      <c r="J229">
        <v>3.6</v>
      </c>
      <c r="K229">
        <v>18</v>
      </c>
    </row>
    <row r="230" spans="1:11" x14ac:dyDescent="0.3">
      <c r="A230">
        <v>1229</v>
      </c>
      <c r="B230" s="3" t="s">
        <v>175</v>
      </c>
      <c r="C230" s="1" t="s">
        <v>380</v>
      </c>
      <c r="D230" t="s">
        <v>48</v>
      </c>
      <c r="E230" t="s">
        <v>51</v>
      </c>
      <c r="F230" t="s">
        <v>28</v>
      </c>
      <c r="G230" t="s">
        <v>29</v>
      </c>
      <c r="H230" t="s">
        <v>57</v>
      </c>
      <c r="I230">
        <v>5</v>
      </c>
      <c r="J230">
        <v>4.09</v>
      </c>
      <c r="K230">
        <v>20.45</v>
      </c>
    </row>
    <row r="231" spans="1:11" x14ac:dyDescent="0.3">
      <c r="A231">
        <v>1230</v>
      </c>
      <c r="B231" s="3" t="s">
        <v>112</v>
      </c>
      <c r="C231" s="1" t="s">
        <v>379</v>
      </c>
      <c r="D231" t="s">
        <v>48</v>
      </c>
      <c r="E231" t="s">
        <v>14</v>
      </c>
      <c r="F231" t="s">
        <v>15</v>
      </c>
      <c r="G231" t="s">
        <v>70</v>
      </c>
      <c r="H231" t="s">
        <v>95</v>
      </c>
      <c r="I231">
        <v>5</v>
      </c>
      <c r="J231">
        <v>3.07</v>
      </c>
      <c r="K231">
        <v>15.35</v>
      </c>
    </row>
    <row r="232" spans="1:11" x14ac:dyDescent="0.3">
      <c r="A232">
        <v>1231</v>
      </c>
      <c r="B232" s="3" t="s">
        <v>234</v>
      </c>
      <c r="C232" s="1" t="s">
        <v>381</v>
      </c>
      <c r="D232" t="s">
        <v>33</v>
      </c>
      <c r="E232" t="s">
        <v>51</v>
      </c>
      <c r="F232" t="s">
        <v>28</v>
      </c>
      <c r="G232" t="s">
        <v>16</v>
      </c>
      <c r="H232" t="s">
        <v>76</v>
      </c>
      <c r="I232">
        <v>1</v>
      </c>
      <c r="J232">
        <v>4.71</v>
      </c>
      <c r="K232">
        <v>4.71</v>
      </c>
    </row>
    <row r="233" spans="1:11" x14ac:dyDescent="0.3">
      <c r="A233">
        <v>1232</v>
      </c>
      <c r="B233" s="3" t="s">
        <v>88</v>
      </c>
      <c r="C233" s="1" t="s">
        <v>382</v>
      </c>
      <c r="D233" t="s">
        <v>42</v>
      </c>
      <c r="E233" t="s">
        <v>39</v>
      </c>
      <c r="F233" t="s">
        <v>28</v>
      </c>
      <c r="G233" t="s">
        <v>16</v>
      </c>
      <c r="H233" t="s">
        <v>35</v>
      </c>
      <c r="I233">
        <v>3</v>
      </c>
      <c r="J233">
        <v>5.96</v>
      </c>
      <c r="K233">
        <v>17.88</v>
      </c>
    </row>
    <row r="234" spans="1:11" x14ac:dyDescent="0.3">
      <c r="A234">
        <v>1233</v>
      </c>
      <c r="B234" s="3" t="s">
        <v>110</v>
      </c>
      <c r="C234" s="1" t="s">
        <v>226</v>
      </c>
      <c r="D234" t="s">
        <v>26</v>
      </c>
      <c r="E234" t="s">
        <v>51</v>
      </c>
      <c r="F234" t="s">
        <v>15</v>
      </c>
      <c r="G234" t="s">
        <v>70</v>
      </c>
      <c r="H234" t="s">
        <v>90</v>
      </c>
      <c r="I234">
        <v>3</v>
      </c>
      <c r="J234">
        <v>4.55</v>
      </c>
      <c r="K234">
        <v>13.65</v>
      </c>
    </row>
    <row r="235" spans="1:11" x14ac:dyDescent="0.3">
      <c r="A235">
        <v>1234</v>
      </c>
      <c r="B235" s="3" t="s">
        <v>248</v>
      </c>
      <c r="C235" s="1" t="s">
        <v>383</v>
      </c>
      <c r="D235" t="s">
        <v>48</v>
      </c>
      <c r="E235" t="s">
        <v>79</v>
      </c>
      <c r="F235" t="s">
        <v>28</v>
      </c>
      <c r="G235" t="s">
        <v>16</v>
      </c>
      <c r="H235" t="s">
        <v>17</v>
      </c>
      <c r="I235">
        <v>4</v>
      </c>
      <c r="J235">
        <v>3.89</v>
      </c>
      <c r="K235">
        <v>15.56</v>
      </c>
    </row>
    <row r="236" spans="1:11" x14ac:dyDescent="0.3">
      <c r="A236">
        <v>1235</v>
      </c>
      <c r="B236" s="3" t="s">
        <v>384</v>
      </c>
      <c r="C236" s="1" t="s">
        <v>385</v>
      </c>
      <c r="D236" t="s">
        <v>42</v>
      </c>
      <c r="E236" t="s">
        <v>14</v>
      </c>
      <c r="F236" t="s">
        <v>28</v>
      </c>
      <c r="G236" t="s">
        <v>29</v>
      </c>
      <c r="H236" t="s">
        <v>57</v>
      </c>
      <c r="I236">
        <v>3</v>
      </c>
      <c r="J236">
        <v>4.57</v>
      </c>
      <c r="K236">
        <v>13.71</v>
      </c>
    </row>
    <row r="237" spans="1:11" x14ac:dyDescent="0.3">
      <c r="A237">
        <v>1236</v>
      </c>
      <c r="B237" s="3" t="s">
        <v>384</v>
      </c>
      <c r="C237" s="1" t="s">
        <v>143</v>
      </c>
      <c r="D237" t="s">
        <v>42</v>
      </c>
      <c r="E237" t="s">
        <v>14</v>
      </c>
      <c r="F237" t="s">
        <v>15</v>
      </c>
      <c r="G237" t="s">
        <v>16</v>
      </c>
      <c r="H237" t="s">
        <v>76</v>
      </c>
      <c r="I237">
        <v>2</v>
      </c>
      <c r="J237">
        <v>3.9</v>
      </c>
      <c r="K237">
        <v>7.8</v>
      </c>
    </row>
    <row r="238" spans="1:11" x14ac:dyDescent="0.3">
      <c r="A238">
        <v>1237</v>
      </c>
      <c r="B238" s="3" t="s">
        <v>325</v>
      </c>
      <c r="C238" s="1" t="s">
        <v>386</v>
      </c>
      <c r="D238" t="s">
        <v>38</v>
      </c>
      <c r="E238" t="s">
        <v>27</v>
      </c>
      <c r="F238" t="s">
        <v>28</v>
      </c>
      <c r="G238" t="s">
        <v>16</v>
      </c>
      <c r="H238" t="s">
        <v>76</v>
      </c>
      <c r="I238">
        <v>5</v>
      </c>
      <c r="J238">
        <v>2.11</v>
      </c>
      <c r="K238">
        <v>10.55</v>
      </c>
    </row>
    <row r="239" spans="1:11" x14ac:dyDescent="0.3">
      <c r="A239">
        <v>1238</v>
      </c>
      <c r="B239" s="3" t="s">
        <v>387</v>
      </c>
      <c r="C239" s="1" t="s">
        <v>388</v>
      </c>
      <c r="D239" t="s">
        <v>38</v>
      </c>
      <c r="E239" t="s">
        <v>20</v>
      </c>
      <c r="F239" t="s">
        <v>15</v>
      </c>
      <c r="G239" t="s">
        <v>16</v>
      </c>
      <c r="H239" t="s">
        <v>76</v>
      </c>
      <c r="I239">
        <v>5</v>
      </c>
      <c r="J239">
        <v>2.21</v>
      </c>
      <c r="K239">
        <v>11.05</v>
      </c>
    </row>
    <row r="240" spans="1:11" x14ac:dyDescent="0.3">
      <c r="A240">
        <v>1239</v>
      </c>
      <c r="B240" s="3" t="s">
        <v>132</v>
      </c>
      <c r="C240" s="1" t="s">
        <v>389</v>
      </c>
      <c r="D240" t="s">
        <v>26</v>
      </c>
      <c r="E240" t="s">
        <v>39</v>
      </c>
      <c r="F240" t="s">
        <v>21</v>
      </c>
      <c r="G240" t="s">
        <v>70</v>
      </c>
      <c r="H240" t="s">
        <v>71</v>
      </c>
      <c r="I240">
        <v>1</v>
      </c>
      <c r="J240">
        <v>5.0999999999999996</v>
      </c>
      <c r="K240">
        <v>5.0999999999999996</v>
      </c>
    </row>
    <row r="241" spans="1:11" x14ac:dyDescent="0.3">
      <c r="A241">
        <v>1240</v>
      </c>
      <c r="B241" s="3" t="s">
        <v>284</v>
      </c>
      <c r="C241" s="1" t="s">
        <v>390</v>
      </c>
      <c r="D241" t="s">
        <v>38</v>
      </c>
      <c r="E241" t="s">
        <v>27</v>
      </c>
      <c r="F241" t="s">
        <v>28</v>
      </c>
      <c r="G241" t="s">
        <v>70</v>
      </c>
      <c r="H241" t="s">
        <v>71</v>
      </c>
      <c r="I241">
        <v>1</v>
      </c>
      <c r="J241">
        <v>2.39</v>
      </c>
      <c r="K241">
        <v>2.39</v>
      </c>
    </row>
    <row r="242" spans="1:11" x14ac:dyDescent="0.3">
      <c r="A242">
        <v>1241</v>
      </c>
      <c r="B242" s="3" t="s">
        <v>96</v>
      </c>
      <c r="C242" s="1" t="s">
        <v>391</v>
      </c>
      <c r="D242" t="s">
        <v>26</v>
      </c>
      <c r="E242" t="s">
        <v>79</v>
      </c>
      <c r="F242" t="s">
        <v>28</v>
      </c>
      <c r="G242" t="s">
        <v>70</v>
      </c>
      <c r="H242" t="s">
        <v>95</v>
      </c>
      <c r="I242">
        <v>3</v>
      </c>
      <c r="J242">
        <v>3.1</v>
      </c>
      <c r="K242">
        <v>9.3000000000000007</v>
      </c>
    </row>
    <row r="243" spans="1:11" x14ac:dyDescent="0.3">
      <c r="A243">
        <v>1242</v>
      </c>
      <c r="B243" s="3" t="s">
        <v>24</v>
      </c>
      <c r="C243" s="1" t="s">
        <v>322</v>
      </c>
      <c r="D243" t="s">
        <v>26</v>
      </c>
      <c r="E243" t="s">
        <v>27</v>
      </c>
      <c r="F243" t="s">
        <v>28</v>
      </c>
      <c r="G243" t="s">
        <v>16</v>
      </c>
      <c r="H243" t="s">
        <v>76</v>
      </c>
      <c r="I243">
        <v>5</v>
      </c>
      <c r="J243">
        <v>3.78</v>
      </c>
      <c r="K243">
        <v>18.899999999999999</v>
      </c>
    </row>
    <row r="244" spans="1:11" x14ac:dyDescent="0.3">
      <c r="A244">
        <v>1243</v>
      </c>
      <c r="B244" s="3" t="s">
        <v>62</v>
      </c>
      <c r="C244" s="1" t="s">
        <v>392</v>
      </c>
      <c r="D244" t="s">
        <v>33</v>
      </c>
      <c r="E244" t="s">
        <v>39</v>
      </c>
      <c r="F244" t="s">
        <v>15</v>
      </c>
      <c r="G244" t="s">
        <v>16</v>
      </c>
      <c r="H244" t="s">
        <v>35</v>
      </c>
      <c r="I244">
        <v>5</v>
      </c>
      <c r="J244">
        <v>3.89</v>
      </c>
      <c r="K244">
        <v>19.45</v>
      </c>
    </row>
    <row r="245" spans="1:11" x14ac:dyDescent="0.3">
      <c r="A245">
        <v>1244</v>
      </c>
      <c r="B245" s="3" t="s">
        <v>116</v>
      </c>
      <c r="C245" s="1" t="s">
        <v>393</v>
      </c>
      <c r="D245" t="s">
        <v>26</v>
      </c>
      <c r="E245" t="s">
        <v>27</v>
      </c>
      <c r="F245" t="s">
        <v>28</v>
      </c>
      <c r="G245" t="s">
        <v>70</v>
      </c>
      <c r="H245" t="s">
        <v>71</v>
      </c>
      <c r="I245">
        <v>1</v>
      </c>
      <c r="J245">
        <v>5.56</v>
      </c>
      <c r="K245">
        <v>5.56</v>
      </c>
    </row>
    <row r="246" spans="1:11" x14ac:dyDescent="0.3">
      <c r="A246">
        <v>1245</v>
      </c>
      <c r="B246" s="3" t="s">
        <v>350</v>
      </c>
      <c r="C246" s="1" t="s">
        <v>394</v>
      </c>
      <c r="D246" t="s">
        <v>48</v>
      </c>
      <c r="E246" t="s">
        <v>51</v>
      </c>
      <c r="F246" t="s">
        <v>28</v>
      </c>
      <c r="G246" t="s">
        <v>16</v>
      </c>
      <c r="H246" t="s">
        <v>35</v>
      </c>
      <c r="I246">
        <v>1</v>
      </c>
      <c r="J246">
        <v>2.48</v>
      </c>
      <c r="K246">
        <v>2.48</v>
      </c>
    </row>
    <row r="247" spans="1:11" x14ac:dyDescent="0.3">
      <c r="A247">
        <v>1246</v>
      </c>
      <c r="B247" s="3" t="s">
        <v>268</v>
      </c>
      <c r="C247" s="1" t="s">
        <v>395</v>
      </c>
      <c r="D247" t="s">
        <v>33</v>
      </c>
      <c r="E247" t="s">
        <v>51</v>
      </c>
      <c r="F247" t="s">
        <v>15</v>
      </c>
      <c r="G247" t="s">
        <v>22</v>
      </c>
      <c r="H247" t="s">
        <v>23</v>
      </c>
      <c r="I247">
        <v>3</v>
      </c>
      <c r="J247">
        <v>5.59</v>
      </c>
      <c r="K247">
        <v>16.77</v>
      </c>
    </row>
    <row r="248" spans="1:11" x14ac:dyDescent="0.3">
      <c r="A248">
        <v>1247</v>
      </c>
      <c r="B248" s="3" t="s">
        <v>36</v>
      </c>
      <c r="C248" s="1" t="s">
        <v>396</v>
      </c>
      <c r="D248" t="s">
        <v>38</v>
      </c>
      <c r="E248" t="s">
        <v>39</v>
      </c>
      <c r="F248" t="s">
        <v>21</v>
      </c>
      <c r="G248" t="s">
        <v>22</v>
      </c>
      <c r="H248" t="s">
        <v>23</v>
      </c>
      <c r="I248">
        <v>5</v>
      </c>
      <c r="J248">
        <v>4.5199999999999996</v>
      </c>
      <c r="K248">
        <v>22.6</v>
      </c>
    </row>
    <row r="249" spans="1:11" x14ac:dyDescent="0.3">
      <c r="A249">
        <v>1248</v>
      </c>
      <c r="B249" s="3" t="s">
        <v>91</v>
      </c>
      <c r="C249" s="1" t="s">
        <v>280</v>
      </c>
      <c r="D249" t="s">
        <v>26</v>
      </c>
      <c r="E249" t="s">
        <v>51</v>
      </c>
      <c r="F249" t="s">
        <v>21</v>
      </c>
      <c r="G249" t="s">
        <v>29</v>
      </c>
      <c r="H249" t="s">
        <v>57</v>
      </c>
      <c r="I249">
        <v>1</v>
      </c>
      <c r="J249">
        <v>2.4</v>
      </c>
      <c r="K249">
        <v>2.4</v>
      </c>
    </row>
    <row r="250" spans="1:11" x14ac:dyDescent="0.3">
      <c r="A250">
        <v>1249</v>
      </c>
      <c r="B250" s="3" t="s">
        <v>358</v>
      </c>
      <c r="C250" s="1" t="s">
        <v>397</v>
      </c>
      <c r="D250" t="s">
        <v>38</v>
      </c>
      <c r="E250" t="s">
        <v>39</v>
      </c>
      <c r="F250" t="s">
        <v>28</v>
      </c>
      <c r="G250" t="s">
        <v>16</v>
      </c>
      <c r="H250" t="s">
        <v>76</v>
      </c>
      <c r="I250">
        <v>1</v>
      </c>
      <c r="J250">
        <v>3.55</v>
      </c>
      <c r="K250">
        <v>3.55</v>
      </c>
    </row>
    <row r="251" spans="1:11" x14ac:dyDescent="0.3">
      <c r="A251">
        <v>1250</v>
      </c>
      <c r="B251" s="3" t="s">
        <v>232</v>
      </c>
      <c r="C251" s="1" t="s">
        <v>398</v>
      </c>
      <c r="D251" t="s">
        <v>42</v>
      </c>
      <c r="E251" t="s">
        <v>51</v>
      </c>
      <c r="F251" t="s">
        <v>28</v>
      </c>
      <c r="G251" t="s">
        <v>70</v>
      </c>
      <c r="H251" t="s">
        <v>71</v>
      </c>
      <c r="I251">
        <v>5</v>
      </c>
      <c r="J251">
        <v>3.79</v>
      </c>
      <c r="K251">
        <v>18.95</v>
      </c>
    </row>
    <row r="252" spans="1:11" x14ac:dyDescent="0.3">
      <c r="A252">
        <v>1251</v>
      </c>
      <c r="B252" s="3" t="s">
        <v>108</v>
      </c>
      <c r="C252" s="1" t="s">
        <v>349</v>
      </c>
      <c r="D252" t="s">
        <v>38</v>
      </c>
      <c r="E252" t="s">
        <v>79</v>
      </c>
      <c r="F252" t="s">
        <v>28</v>
      </c>
      <c r="G252" t="s">
        <v>16</v>
      </c>
      <c r="H252" t="s">
        <v>17</v>
      </c>
      <c r="I252">
        <v>3</v>
      </c>
      <c r="J252">
        <v>3.72</v>
      </c>
      <c r="K252">
        <v>11.16</v>
      </c>
    </row>
    <row r="253" spans="1:11" x14ac:dyDescent="0.3">
      <c r="A253">
        <v>1252</v>
      </c>
      <c r="B253" s="3" t="s">
        <v>372</v>
      </c>
      <c r="C253" s="1" t="s">
        <v>399</v>
      </c>
      <c r="D253" t="s">
        <v>42</v>
      </c>
      <c r="E253" t="s">
        <v>34</v>
      </c>
      <c r="F253" t="s">
        <v>21</v>
      </c>
      <c r="G253" t="s">
        <v>16</v>
      </c>
      <c r="H253" t="s">
        <v>35</v>
      </c>
      <c r="I253">
        <v>2</v>
      </c>
      <c r="J253">
        <v>2.9</v>
      </c>
      <c r="K253">
        <v>5.8</v>
      </c>
    </row>
    <row r="254" spans="1:11" x14ac:dyDescent="0.3">
      <c r="A254">
        <v>1253</v>
      </c>
      <c r="B254" s="3" t="s">
        <v>372</v>
      </c>
      <c r="C254" s="1" t="s">
        <v>265</v>
      </c>
      <c r="D254" t="s">
        <v>42</v>
      </c>
      <c r="E254" t="s">
        <v>34</v>
      </c>
      <c r="F254" t="s">
        <v>21</v>
      </c>
      <c r="G254" t="s">
        <v>22</v>
      </c>
      <c r="H254" t="s">
        <v>23</v>
      </c>
      <c r="I254">
        <v>5</v>
      </c>
      <c r="J254">
        <v>3</v>
      </c>
      <c r="K254">
        <v>15</v>
      </c>
    </row>
    <row r="255" spans="1:11" x14ac:dyDescent="0.3">
      <c r="A255">
        <v>1254</v>
      </c>
      <c r="B255" s="3" t="s">
        <v>218</v>
      </c>
      <c r="C255" s="1" t="s">
        <v>400</v>
      </c>
      <c r="D255" t="s">
        <v>38</v>
      </c>
      <c r="E255" t="s">
        <v>20</v>
      </c>
      <c r="F255" t="s">
        <v>15</v>
      </c>
      <c r="G255" t="s">
        <v>22</v>
      </c>
      <c r="H255" t="s">
        <v>23</v>
      </c>
      <c r="I255">
        <v>3</v>
      </c>
      <c r="J255">
        <v>5.81</v>
      </c>
      <c r="K255">
        <v>17.43</v>
      </c>
    </row>
    <row r="256" spans="1:11" x14ac:dyDescent="0.3">
      <c r="A256">
        <v>1255</v>
      </c>
      <c r="B256" s="3" t="s">
        <v>60</v>
      </c>
      <c r="C256" s="1" t="s">
        <v>401</v>
      </c>
      <c r="D256" t="s">
        <v>33</v>
      </c>
      <c r="E256" t="s">
        <v>39</v>
      </c>
      <c r="F256" t="s">
        <v>15</v>
      </c>
      <c r="G256" t="s">
        <v>29</v>
      </c>
      <c r="H256" t="s">
        <v>43</v>
      </c>
      <c r="I256">
        <v>1</v>
      </c>
      <c r="J256">
        <v>4.9000000000000004</v>
      </c>
      <c r="K256">
        <v>4.9000000000000004</v>
      </c>
    </row>
    <row r="257" spans="1:11" x14ac:dyDescent="0.3">
      <c r="A257">
        <v>1256</v>
      </c>
      <c r="B257" s="3" t="s">
        <v>96</v>
      </c>
      <c r="C257" s="1" t="s">
        <v>402</v>
      </c>
      <c r="D257" t="s">
        <v>26</v>
      </c>
      <c r="E257" t="s">
        <v>79</v>
      </c>
      <c r="F257" t="s">
        <v>21</v>
      </c>
      <c r="G257" t="s">
        <v>22</v>
      </c>
      <c r="H257" t="s">
        <v>23</v>
      </c>
      <c r="I257">
        <v>1</v>
      </c>
      <c r="J257">
        <v>4.66</v>
      </c>
      <c r="K257">
        <v>4.66</v>
      </c>
    </row>
    <row r="258" spans="1:11" x14ac:dyDescent="0.3">
      <c r="A258">
        <v>1257</v>
      </c>
      <c r="B258" s="3" t="s">
        <v>269</v>
      </c>
      <c r="C258" s="1" t="s">
        <v>403</v>
      </c>
      <c r="D258" t="s">
        <v>26</v>
      </c>
      <c r="E258" t="s">
        <v>79</v>
      </c>
      <c r="F258" t="s">
        <v>21</v>
      </c>
      <c r="G258" t="s">
        <v>29</v>
      </c>
      <c r="H258" t="s">
        <v>57</v>
      </c>
      <c r="I258">
        <v>1</v>
      </c>
      <c r="J258">
        <v>4.6100000000000003</v>
      </c>
      <c r="K258">
        <v>4.6100000000000003</v>
      </c>
    </row>
    <row r="259" spans="1:11" x14ac:dyDescent="0.3">
      <c r="A259">
        <v>1258</v>
      </c>
      <c r="B259" s="3" t="s">
        <v>96</v>
      </c>
      <c r="C259" s="1" t="s">
        <v>377</v>
      </c>
      <c r="D259" t="s">
        <v>26</v>
      </c>
      <c r="E259" t="s">
        <v>79</v>
      </c>
      <c r="F259" t="s">
        <v>28</v>
      </c>
      <c r="G259" t="s">
        <v>29</v>
      </c>
      <c r="H259" t="s">
        <v>52</v>
      </c>
      <c r="I259">
        <v>2</v>
      </c>
      <c r="J259">
        <v>3.02</v>
      </c>
      <c r="K259">
        <v>6.04</v>
      </c>
    </row>
    <row r="260" spans="1:11" x14ac:dyDescent="0.3">
      <c r="A260">
        <v>1259</v>
      </c>
      <c r="B260" s="3" t="s">
        <v>122</v>
      </c>
      <c r="C260" s="1" t="s">
        <v>404</v>
      </c>
      <c r="D260" t="s">
        <v>33</v>
      </c>
      <c r="E260" t="s">
        <v>51</v>
      </c>
      <c r="F260" t="s">
        <v>15</v>
      </c>
      <c r="G260" t="s">
        <v>29</v>
      </c>
      <c r="H260" t="s">
        <v>30</v>
      </c>
      <c r="I260">
        <v>5</v>
      </c>
      <c r="J260">
        <v>2.58</v>
      </c>
      <c r="K260">
        <v>12.9</v>
      </c>
    </row>
    <row r="261" spans="1:11" x14ac:dyDescent="0.3">
      <c r="A261">
        <v>1260</v>
      </c>
      <c r="B261" s="3" t="s">
        <v>181</v>
      </c>
      <c r="C261" s="1" t="s">
        <v>168</v>
      </c>
      <c r="D261" t="s">
        <v>26</v>
      </c>
      <c r="E261" t="s">
        <v>20</v>
      </c>
      <c r="F261" t="s">
        <v>28</v>
      </c>
      <c r="G261" t="s">
        <v>70</v>
      </c>
      <c r="H261" t="s">
        <v>71</v>
      </c>
      <c r="I261">
        <v>1</v>
      </c>
      <c r="J261">
        <v>4.2</v>
      </c>
      <c r="K261">
        <v>4.2</v>
      </c>
    </row>
    <row r="262" spans="1:11" x14ac:dyDescent="0.3">
      <c r="A262">
        <v>1261</v>
      </c>
      <c r="B262" s="3" t="s">
        <v>206</v>
      </c>
      <c r="C262" s="1" t="s">
        <v>405</v>
      </c>
      <c r="D262" t="s">
        <v>33</v>
      </c>
      <c r="E262" t="s">
        <v>27</v>
      </c>
      <c r="F262" t="s">
        <v>21</v>
      </c>
      <c r="G262" t="s">
        <v>22</v>
      </c>
      <c r="H262" t="s">
        <v>23</v>
      </c>
      <c r="I262">
        <v>4</v>
      </c>
      <c r="J262">
        <v>5.75</v>
      </c>
      <c r="K262">
        <v>23</v>
      </c>
    </row>
    <row r="263" spans="1:11" x14ac:dyDescent="0.3">
      <c r="A263">
        <v>1262</v>
      </c>
      <c r="B263" s="3" t="s">
        <v>328</v>
      </c>
      <c r="C263" s="1" t="s">
        <v>406</v>
      </c>
      <c r="D263" t="s">
        <v>26</v>
      </c>
      <c r="E263" t="s">
        <v>34</v>
      </c>
      <c r="F263" t="s">
        <v>28</v>
      </c>
      <c r="G263" t="s">
        <v>29</v>
      </c>
      <c r="H263" t="s">
        <v>30</v>
      </c>
      <c r="I263">
        <v>1</v>
      </c>
      <c r="J263">
        <v>2.56</v>
      </c>
      <c r="K263">
        <v>2.56</v>
      </c>
    </row>
    <row r="264" spans="1:11" x14ac:dyDescent="0.3">
      <c r="A264">
        <v>1263</v>
      </c>
      <c r="B264" s="3" t="s">
        <v>141</v>
      </c>
      <c r="C264" s="1" t="s">
        <v>407</v>
      </c>
      <c r="D264" t="s">
        <v>48</v>
      </c>
      <c r="E264" t="s">
        <v>14</v>
      </c>
      <c r="F264" t="s">
        <v>21</v>
      </c>
      <c r="G264" t="s">
        <v>16</v>
      </c>
      <c r="H264" t="s">
        <v>76</v>
      </c>
      <c r="I264">
        <v>4</v>
      </c>
      <c r="J264">
        <v>3.16</v>
      </c>
      <c r="K264">
        <v>12.64</v>
      </c>
    </row>
    <row r="265" spans="1:11" x14ac:dyDescent="0.3">
      <c r="A265">
        <v>1264</v>
      </c>
      <c r="B265" s="3" t="s">
        <v>301</v>
      </c>
      <c r="C265" s="1" t="s">
        <v>249</v>
      </c>
      <c r="D265" t="s">
        <v>33</v>
      </c>
      <c r="E265" t="s">
        <v>14</v>
      </c>
      <c r="F265" t="s">
        <v>28</v>
      </c>
      <c r="G265" t="s">
        <v>22</v>
      </c>
      <c r="H265" t="s">
        <v>23</v>
      </c>
      <c r="I265">
        <v>1</v>
      </c>
      <c r="J265">
        <v>5.88</v>
      </c>
      <c r="K265">
        <v>5.88</v>
      </c>
    </row>
    <row r="266" spans="1:11" x14ac:dyDescent="0.3">
      <c r="A266">
        <v>1265</v>
      </c>
      <c r="B266" s="3" t="s">
        <v>355</v>
      </c>
      <c r="C266" s="1" t="s">
        <v>196</v>
      </c>
      <c r="D266" t="s">
        <v>38</v>
      </c>
      <c r="E266" t="s">
        <v>39</v>
      </c>
      <c r="F266" t="s">
        <v>15</v>
      </c>
      <c r="G266" t="s">
        <v>70</v>
      </c>
      <c r="H266" t="s">
        <v>71</v>
      </c>
      <c r="I266">
        <v>1</v>
      </c>
      <c r="J266">
        <v>2.06</v>
      </c>
      <c r="K266">
        <v>2.06</v>
      </c>
    </row>
    <row r="267" spans="1:11" x14ac:dyDescent="0.3">
      <c r="A267">
        <v>1266</v>
      </c>
      <c r="B267" s="3" t="s">
        <v>229</v>
      </c>
      <c r="C267" s="1" t="s">
        <v>408</v>
      </c>
      <c r="D267" t="s">
        <v>48</v>
      </c>
      <c r="E267" t="s">
        <v>79</v>
      </c>
      <c r="F267" t="s">
        <v>28</v>
      </c>
      <c r="G267" t="s">
        <v>70</v>
      </c>
      <c r="H267" t="s">
        <v>71</v>
      </c>
      <c r="I267">
        <v>4</v>
      </c>
      <c r="J267">
        <v>4.9000000000000004</v>
      </c>
      <c r="K267">
        <v>19.600000000000001</v>
      </c>
    </row>
    <row r="268" spans="1:11" x14ac:dyDescent="0.3">
      <c r="A268">
        <v>1267</v>
      </c>
      <c r="B268" s="3" t="s">
        <v>205</v>
      </c>
      <c r="C268" s="1" t="s">
        <v>283</v>
      </c>
      <c r="D268" t="s">
        <v>38</v>
      </c>
      <c r="E268" t="s">
        <v>51</v>
      </c>
      <c r="F268" t="s">
        <v>21</v>
      </c>
      <c r="G268" t="s">
        <v>29</v>
      </c>
      <c r="H268" t="s">
        <v>30</v>
      </c>
      <c r="I268">
        <v>5</v>
      </c>
      <c r="J268">
        <v>2.59</v>
      </c>
      <c r="K268">
        <v>12.95</v>
      </c>
    </row>
    <row r="269" spans="1:11" x14ac:dyDescent="0.3">
      <c r="A269">
        <v>1268</v>
      </c>
      <c r="B269" s="3" t="s">
        <v>409</v>
      </c>
      <c r="C269" s="1" t="s">
        <v>410</v>
      </c>
      <c r="D269" t="s">
        <v>38</v>
      </c>
      <c r="E269" t="s">
        <v>39</v>
      </c>
      <c r="F269" t="s">
        <v>28</v>
      </c>
      <c r="G269" t="s">
        <v>16</v>
      </c>
      <c r="H269" t="s">
        <v>35</v>
      </c>
      <c r="I269">
        <v>5</v>
      </c>
      <c r="J269">
        <v>5.12</v>
      </c>
      <c r="K269">
        <v>25.6</v>
      </c>
    </row>
    <row r="270" spans="1:11" x14ac:dyDescent="0.3">
      <c r="A270">
        <v>1269</v>
      </c>
      <c r="B270" s="3" t="s">
        <v>124</v>
      </c>
      <c r="C270" s="1" t="s">
        <v>73</v>
      </c>
      <c r="D270" t="s">
        <v>48</v>
      </c>
      <c r="E270" t="s">
        <v>14</v>
      </c>
      <c r="F270" t="s">
        <v>28</v>
      </c>
      <c r="G270" t="s">
        <v>22</v>
      </c>
      <c r="H270" t="s">
        <v>23</v>
      </c>
      <c r="I270">
        <v>3</v>
      </c>
      <c r="J270">
        <v>4.8600000000000003</v>
      </c>
      <c r="K270">
        <v>14.58</v>
      </c>
    </row>
    <row r="271" spans="1:11" x14ac:dyDescent="0.3">
      <c r="A271">
        <v>1270</v>
      </c>
      <c r="B271" s="3" t="s">
        <v>11</v>
      </c>
      <c r="C271" s="1" t="s">
        <v>411</v>
      </c>
      <c r="D271" t="s">
        <v>13</v>
      </c>
      <c r="E271" t="s">
        <v>14</v>
      </c>
      <c r="F271" t="s">
        <v>15</v>
      </c>
      <c r="G271" t="s">
        <v>16</v>
      </c>
      <c r="H271" t="s">
        <v>76</v>
      </c>
      <c r="I271">
        <v>1</v>
      </c>
      <c r="J271">
        <v>4.1900000000000004</v>
      </c>
      <c r="K271">
        <v>4.1900000000000004</v>
      </c>
    </row>
    <row r="272" spans="1:11" x14ac:dyDescent="0.3">
      <c r="A272">
        <v>1271</v>
      </c>
      <c r="B272" s="3" t="s">
        <v>183</v>
      </c>
      <c r="C272" s="1" t="s">
        <v>412</v>
      </c>
      <c r="D272" t="s">
        <v>48</v>
      </c>
      <c r="E272" t="s">
        <v>34</v>
      </c>
      <c r="F272" t="s">
        <v>21</v>
      </c>
      <c r="G272" t="s">
        <v>16</v>
      </c>
      <c r="H272" t="s">
        <v>35</v>
      </c>
      <c r="I272">
        <v>5</v>
      </c>
      <c r="J272">
        <v>4.1100000000000003</v>
      </c>
      <c r="K272">
        <v>20.55</v>
      </c>
    </row>
    <row r="273" spans="1:11" x14ac:dyDescent="0.3">
      <c r="A273">
        <v>1272</v>
      </c>
      <c r="B273" s="3" t="s">
        <v>240</v>
      </c>
      <c r="C273" s="1" t="s">
        <v>413</v>
      </c>
      <c r="D273" t="s">
        <v>48</v>
      </c>
      <c r="E273" t="s">
        <v>20</v>
      </c>
      <c r="F273" t="s">
        <v>15</v>
      </c>
      <c r="G273" t="s">
        <v>16</v>
      </c>
      <c r="H273" t="s">
        <v>17</v>
      </c>
      <c r="I273">
        <v>4</v>
      </c>
      <c r="J273">
        <v>3.35</v>
      </c>
      <c r="K273">
        <v>13.4</v>
      </c>
    </row>
    <row r="274" spans="1:11" x14ac:dyDescent="0.3">
      <c r="A274">
        <v>1273</v>
      </c>
      <c r="B274" s="3" t="s">
        <v>213</v>
      </c>
      <c r="C274" s="1" t="s">
        <v>414</v>
      </c>
      <c r="D274" t="s">
        <v>13</v>
      </c>
      <c r="E274" t="s">
        <v>20</v>
      </c>
      <c r="F274" t="s">
        <v>21</v>
      </c>
      <c r="G274" t="s">
        <v>29</v>
      </c>
      <c r="H274" t="s">
        <v>57</v>
      </c>
      <c r="I274">
        <v>2</v>
      </c>
      <c r="J274">
        <v>2.99</v>
      </c>
      <c r="K274">
        <v>5.98</v>
      </c>
    </row>
    <row r="275" spans="1:11" x14ac:dyDescent="0.3">
      <c r="A275">
        <v>1274</v>
      </c>
      <c r="B275" s="3" t="s">
        <v>415</v>
      </c>
      <c r="C275" s="1" t="s">
        <v>416</v>
      </c>
      <c r="D275" t="s">
        <v>48</v>
      </c>
      <c r="E275" t="s">
        <v>34</v>
      </c>
      <c r="F275" t="s">
        <v>21</v>
      </c>
      <c r="G275" t="s">
        <v>16</v>
      </c>
      <c r="H275" t="s">
        <v>76</v>
      </c>
      <c r="I275">
        <v>3</v>
      </c>
      <c r="J275">
        <v>4.0999999999999996</v>
      </c>
      <c r="K275">
        <v>12.3</v>
      </c>
    </row>
    <row r="276" spans="1:11" x14ac:dyDescent="0.3">
      <c r="A276">
        <v>1275</v>
      </c>
      <c r="B276" s="3" t="s">
        <v>166</v>
      </c>
      <c r="C276" s="1" t="s">
        <v>417</v>
      </c>
      <c r="D276" t="s">
        <v>48</v>
      </c>
      <c r="E276" t="s">
        <v>79</v>
      </c>
      <c r="F276" t="s">
        <v>15</v>
      </c>
      <c r="G276" t="s">
        <v>22</v>
      </c>
      <c r="H276" t="s">
        <v>23</v>
      </c>
      <c r="I276">
        <v>1</v>
      </c>
      <c r="J276">
        <v>4.74</v>
      </c>
      <c r="K276">
        <v>4.74</v>
      </c>
    </row>
    <row r="277" spans="1:11" x14ac:dyDescent="0.3">
      <c r="A277">
        <v>1276</v>
      </c>
      <c r="B277" s="3" t="s">
        <v>418</v>
      </c>
      <c r="C277" s="1" t="s">
        <v>410</v>
      </c>
      <c r="D277" t="s">
        <v>42</v>
      </c>
      <c r="E277" t="s">
        <v>14</v>
      </c>
      <c r="F277" t="s">
        <v>28</v>
      </c>
      <c r="G277" t="s">
        <v>29</v>
      </c>
      <c r="H277" t="s">
        <v>43</v>
      </c>
      <c r="I277">
        <v>5</v>
      </c>
      <c r="J277">
        <v>3.16</v>
      </c>
      <c r="K277">
        <v>15.8</v>
      </c>
    </row>
    <row r="278" spans="1:11" x14ac:dyDescent="0.3">
      <c r="A278">
        <v>1277</v>
      </c>
      <c r="B278" s="3" t="s">
        <v>199</v>
      </c>
      <c r="C278" s="1" t="s">
        <v>419</v>
      </c>
      <c r="D278" t="s">
        <v>13</v>
      </c>
      <c r="E278" t="s">
        <v>79</v>
      </c>
      <c r="F278" t="s">
        <v>15</v>
      </c>
      <c r="G278" t="s">
        <v>29</v>
      </c>
      <c r="H278" t="s">
        <v>57</v>
      </c>
      <c r="I278">
        <v>4</v>
      </c>
      <c r="J278">
        <v>2.11</v>
      </c>
      <c r="K278">
        <v>8.44</v>
      </c>
    </row>
    <row r="279" spans="1:11" x14ac:dyDescent="0.3">
      <c r="A279">
        <v>1278</v>
      </c>
      <c r="B279" s="3" t="s">
        <v>358</v>
      </c>
      <c r="C279" s="1" t="s">
        <v>420</v>
      </c>
      <c r="D279" t="s">
        <v>38</v>
      </c>
      <c r="E279" t="s">
        <v>39</v>
      </c>
      <c r="F279" t="s">
        <v>28</v>
      </c>
      <c r="G279" t="s">
        <v>29</v>
      </c>
      <c r="H279" t="s">
        <v>30</v>
      </c>
      <c r="I279">
        <v>2</v>
      </c>
      <c r="J279">
        <v>2.34</v>
      </c>
      <c r="K279">
        <v>4.68</v>
      </c>
    </row>
    <row r="280" spans="1:11" x14ac:dyDescent="0.3">
      <c r="A280">
        <v>1279</v>
      </c>
      <c r="B280" s="3" t="s">
        <v>156</v>
      </c>
      <c r="C280" s="1" t="s">
        <v>421</v>
      </c>
      <c r="D280" t="s">
        <v>26</v>
      </c>
      <c r="E280" t="s">
        <v>14</v>
      </c>
      <c r="F280" t="s">
        <v>28</v>
      </c>
      <c r="G280" t="s">
        <v>16</v>
      </c>
      <c r="H280" t="s">
        <v>17</v>
      </c>
      <c r="I280">
        <v>4</v>
      </c>
      <c r="J280">
        <v>4.84</v>
      </c>
      <c r="K280">
        <v>19.36</v>
      </c>
    </row>
    <row r="281" spans="1:11" x14ac:dyDescent="0.3">
      <c r="A281">
        <v>1280</v>
      </c>
      <c r="B281" s="3" t="s">
        <v>422</v>
      </c>
      <c r="C281" s="1" t="s">
        <v>423</v>
      </c>
      <c r="D281" t="s">
        <v>13</v>
      </c>
      <c r="E281" t="s">
        <v>51</v>
      </c>
      <c r="F281" t="s">
        <v>28</v>
      </c>
      <c r="G281" t="s">
        <v>70</v>
      </c>
      <c r="H281" t="s">
        <v>71</v>
      </c>
      <c r="I281">
        <v>3</v>
      </c>
      <c r="J281">
        <v>5.81</v>
      </c>
      <c r="K281">
        <v>17.43</v>
      </c>
    </row>
    <row r="282" spans="1:11" x14ac:dyDescent="0.3">
      <c r="A282">
        <v>1281</v>
      </c>
      <c r="B282" s="3" t="s">
        <v>409</v>
      </c>
      <c r="C282" s="1" t="s">
        <v>424</v>
      </c>
      <c r="D282" t="s">
        <v>38</v>
      </c>
      <c r="E282" t="s">
        <v>39</v>
      </c>
      <c r="F282" t="s">
        <v>21</v>
      </c>
      <c r="G282" t="s">
        <v>70</v>
      </c>
      <c r="H282" t="s">
        <v>90</v>
      </c>
      <c r="I282">
        <v>2</v>
      </c>
      <c r="J282">
        <v>4.63</v>
      </c>
      <c r="K282">
        <v>9.26</v>
      </c>
    </row>
    <row r="283" spans="1:11" x14ac:dyDescent="0.3">
      <c r="A283">
        <v>1282</v>
      </c>
      <c r="B283" s="3" t="s">
        <v>340</v>
      </c>
      <c r="C283" s="1" t="s">
        <v>220</v>
      </c>
      <c r="D283" t="s">
        <v>26</v>
      </c>
      <c r="E283" t="s">
        <v>39</v>
      </c>
      <c r="F283" t="s">
        <v>15</v>
      </c>
      <c r="G283" t="s">
        <v>16</v>
      </c>
      <c r="H283" t="s">
        <v>17</v>
      </c>
      <c r="I283">
        <v>1</v>
      </c>
      <c r="J283">
        <v>2.4500000000000002</v>
      </c>
      <c r="K283">
        <v>2.4500000000000002</v>
      </c>
    </row>
    <row r="284" spans="1:11" x14ac:dyDescent="0.3">
      <c r="A284">
        <v>1283</v>
      </c>
      <c r="B284" s="3" t="s">
        <v>262</v>
      </c>
      <c r="C284" s="1" t="s">
        <v>209</v>
      </c>
      <c r="D284" t="s">
        <v>33</v>
      </c>
      <c r="E284" t="s">
        <v>39</v>
      </c>
      <c r="F284" t="s">
        <v>21</v>
      </c>
      <c r="G284" t="s">
        <v>29</v>
      </c>
      <c r="H284" t="s">
        <v>52</v>
      </c>
      <c r="I284">
        <v>3</v>
      </c>
      <c r="J284">
        <v>4.66</v>
      </c>
      <c r="K284">
        <v>13.98</v>
      </c>
    </row>
    <row r="285" spans="1:11" x14ac:dyDescent="0.3">
      <c r="A285">
        <v>1284</v>
      </c>
      <c r="B285" s="3" t="s">
        <v>371</v>
      </c>
      <c r="C285" s="1" t="s">
        <v>425</v>
      </c>
      <c r="D285" t="s">
        <v>13</v>
      </c>
      <c r="E285" t="s">
        <v>20</v>
      </c>
      <c r="F285" t="s">
        <v>15</v>
      </c>
      <c r="G285" t="s">
        <v>16</v>
      </c>
      <c r="H285" t="s">
        <v>35</v>
      </c>
      <c r="I285">
        <v>5</v>
      </c>
      <c r="J285">
        <v>2.59</v>
      </c>
      <c r="K285">
        <v>12.95</v>
      </c>
    </row>
    <row r="286" spans="1:11" x14ac:dyDescent="0.3">
      <c r="A286">
        <v>1285</v>
      </c>
      <c r="B286" s="3" t="s">
        <v>303</v>
      </c>
      <c r="C286" s="1" t="s">
        <v>426</v>
      </c>
      <c r="D286" t="s">
        <v>26</v>
      </c>
      <c r="E286" t="s">
        <v>14</v>
      </c>
      <c r="F286" t="s">
        <v>28</v>
      </c>
      <c r="G286" t="s">
        <v>70</v>
      </c>
      <c r="H286" t="s">
        <v>95</v>
      </c>
      <c r="I286">
        <v>4</v>
      </c>
      <c r="J286">
        <v>4.24</v>
      </c>
      <c r="K286">
        <v>16.96</v>
      </c>
    </row>
    <row r="287" spans="1:11" x14ac:dyDescent="0.3">
      <c r="A287">
        <v>1286</v>
      </c>
      <c r="B287" s="3" t="s">
        <v>371</v>
      </c>
      <c r="C287" s="1" t="s">
        <v>427</v>
      </c>
      <c r="D287" t="s">
        <v>13</v>
      </c>
      <c r="E287" t="s">
        <v>20</v>
      </c>
      <c r="F287" t="s">
        <v>21</v>
      </c>
      <c r="G287" t="s">
        <v>70</v>
      </c>
      <c r="H287" t="s">
        <v>95</v>
      </c>
      <c r="I287">
        <v>3</v>
      </c>
      <c r="J287">
        <v>4.5999999999999996</v>
      </c>
      <c r="K287">
        <v>13.8</v>
      </c>
    </row>
    <row r="288" spans="1:11" x14ac:dyDescent="0.3">
      <c r="A288">
        <v>1287</v>
      </c>
      <c r="B288" s="3" t="s">
        <v>428</v>
      </c>
      <c r="C288" s="1" t="s">
        <v>172</v>
      </c>
      <c r="D288" t="s">
        <v>13</v>
      </c>
      <c r="E288" t="s">
        <v>20</v>
      </c>
      <c r="F288" t="s">
        <v>28</v>
      </c>
      <c r="G288" t="s">
        <v>70</v>
      </c>
      <c r="H288" t="s">
        <v>71</v>
      </c>
      <c r="I288">
        <v>3</v>
      </c>
      <c r="J288">
        <v>4.6900000000000004</v>
      </c>
      <c r="K288">
        <v>14.07</v>
      </c>
    </row>
    <row r="289" spans="1:11" x14ac:dyDescent="0.3">
      <c r="A289">
        <v>1288</v>
      </c>
      <c r="B289" s="3" t="s">
        <v>272</v>
      </c>
      <c r="C289" s="1" t="s">
        <v>180</v>
      </c>
      <c r="D289" t="s">
        <v>33</v>
      </c>
      <c r="E289" t="s">
        <v>79</v>
      </c>
      <c r="F289" t="s">
        <v>28</v>
      </c>
      <c r="G289" t="s">
        <v>29</v>
      </c>
      <c r="H289" t="s">
        <v>30</v>
      </c>
      <c r="I289">
        <v>1</v>
      </c>
      <c r="J289">
        <v>2.72</v>
      </c>
      <c r="K289">
        <v>2.72</v>
      </c>
    </row>
    <row r="290" spans="1:11" x14ac:dyDescent="0.3">
      <c r="A290">
        <v>1289</v>
      </c>
      <c r="B290" s="3" t="s">
        <v>236</v>
      </c>
      <c r="C290" s="1" t="s">
        <v>429</v>
      </c>
      <c r="D290" t="s">
        <v>42</v>
      </c>
      <c r="E290" t="s">
        <v>79</v>
      </c>
      <c r="F290" t="s">
        <v>28</v>
      </c>
      <c r="G290" t="s">
        <v>22</v>
      </c>
      <c r="H290" t="s">
        <v>23</v>
      </c>
      <c r="I290">
        <v>2</v>
      </c>
      <c r="J290">
        <v>4.26</v>
      </c>
      <c r="K290">
        <v>8.52</v>
      </c>
    </row>
    <row r="291" spans="1:11" x14ac:dyDescent="0.3">
      <c r="A291">
        <v>1290</v>
      </c>
      <c r="B291" s="3" t="s">
        <v>312</v>
      </c>
      <c r="C291" s="1" t="s">
        <v>430</v>
      </c>
      <c r="D291" t="s">
        <v>42</v>
      </c>
      <c r="E291" t="s">
        <v>79</v>
      </c>
      <c r="F291" t="s">
        <v>21</v>
      </c>
      <c r="G291" t="s">
        <v>16</v>
      </c>
      <c r="H291" t="s">
        <v>35</v>
      </c>
      <c r="I291">
        <v>5</v>
      </c>
      <c r="J291">
        <v>4.43</v>
      </c>
      <c r="K291">
        <v>22.15</v>
      </c>
    </row>
    <row r="292" spans="1:11" x14ac:dyDescent="0.3">
      <c r="A292">
        <v>1291</v>
      </c>
      <c r="B292" s="3" t="s">
        <v>428</v>
      </c>
      <c r="C292" s="1" t="s">
        <v>431</v>
      </c>
      <c r="D292" t="s">
        <v>13</v>
      </c>
      <c r="E292" t="s">
        <v>20</v>
      </c>
      <c r="F292" t="s">
        <v>28</v>
      </c>
      <c r="G292" t="s">
        <v>22</v>
      </c>
      <c r="H292" t="s">
        <v>23</v>
      </c>
      <c r="I292">
        <v>5</v>
      </c>
      <c r="J292">
        <v>4.68</v>
      </c>
      <c r="K292">
        <v>23.4</v>
      </c>
    </row>
    <row r="293" spans="1:11" x14ac:dyDescent="0.3">
      <c r="A293">
        <v>1292</v>
      </c>
      <c r="B293" s="3" t="s">
        <v>215</v>
      </c>
      <c r="C293" s="1" t="s">
        <v>432</v>
      </c>
      <c r="D293" t="s">
        <v>38</v>
      </c>
      <c r="E293" t="s">
        <v>20</v>
      </c>
      <c r="F293" t="s">
        <v>28</v>
      </c>
      <c r="G293" t="s">
        <v>29</v>
      </c>
      <c r="H293" t="s">
        <v>57</v>
      </c>
      <c r="I293">
        <v>2</v>
      </c>
      <c r="J293">
        <v>3.91</v>
      </c>
      <c r="K293">
        <v>7.82</v>
      </c>
    </row>
    <row r="294" spans="1:11" x14ac:dyDescent="0.3">
      <c r="A294">
        <v>1293</v>
      </c>
      <c r="B294" s="3" t="s">
        <v>301</v>
      </c>
      <c r="C294" s="1" t="s">
        <v>433</v>
      </c>
      <c r="D294" t="s">
        <v>33</v>
      </c>
      <c r="E294" t="s">
        <v>14</v>
      </c>
      <c r="F294" t="s">
        <v>15</v>
      </c>
      <c r="G294" t="s">
        <v>29</v>
      </c>
      <c r="H294" t="s">
        <v>30</v>
      </c>
      <c r="I294">
        <v>1</v>
      </c>
      <c r="J294">
        <v>3.67</v>
      </c>
      <c r="K294">
        <v>3.67</v>
      </c>
    </row>
    <row r="295" spans="1:11" x14ac:dyDescent="0.3">
      <c r="A295">
        <v>1294</v>
      </c>
      <c r="B295" s="3" t="s">
        <v>60</v>
      </c>
      <c r="C295" s="1" t="s">
        <v>434</v>
      </c>
      <c r="D295" t="s">
        <v>33</v>
      </c>
      <c r="E295" t="s">
        <v>39</v>
      </c>
      <c r="F295" t="s">
        <v>28</v>
      </c>
      <c r="G295" t="s">
        <v>16</v>
      </c>
      <c r="H295" t="s">
        <v>76</v>
      </c>
      <c r="I295">
        <v>5</v>
      </c>
      <c r="J295">
        <v>5.87</v>
      </c>
      <c r="K295">
        <v>29.35</v>
      </c>
    </row>
    <row r="296" spans="1:11" x14ac:dyDescent="0.3">
      <c r="A296">
        <v>1295</v>
      </c>
      <c r="B296" s="3" t="s">
        <v>132</v>
      </c>
      <c r="C296" s="1" t="s">
        <v>435</v>
      </c>
      <c r="D296" t="s">
        <v>26</v>
      </c>
      <c r="E296" t="s">
        <v>39</v>
      </c>
      <c r="F296" t="s">
        <v>15</v>
      </c>
      <c r="G296" t="s">
        <v>16</v>
      </c>
      <c r="H296" t="s">
        <v>76</v>
      </c>
      <c r="I296">
        <v>1</v>
      </c>
      <c r="J296">
        <v>2.16</v>
      </c>
      <c r="K296">
        <v>2.16</v>
      </c>
    </row>
    <row r="297" spans="1:11" x14ac:dyDescent="0.3">
      <c r="A297">
        <v>1296</v>
      </c>
      <c r="B297" s="3" t="s">
        <v>49</v>
      </c>
      <c r="C297" s="1" t="s">
        <v>436</v>
      </c>
      <c r="D297" t="s">
        <v>38</v>
      </c>
      <c r="E297" t="s">
        <v>51</v>
      </c>
      <c r="F297" t="s">
        <v>15</v>
      </c>
      <c r="G297" t="s">
        <v>16</v>
      </c>
      <c r="H297" t="s">
        <v>17</v>
      </c>
      <c r="I297">
        <v>1</v>
      </c>
      <c r="J297">
        <v>4.6399999999999997</v>
      </c>
      <c r="K297">
        <v>4.6399999999999997</v>
      </c>
    </row>
    <row r="298" spans="1:11" x14ac:dyDescent="0.3">
      <c r="A298">
        <v>1297</v>
      </c>
      <c r="B298" s="3" t="s">
        <v>300</v>
      </c>
      <c r="C298" s="1" t="s">
        <v>437</v>
      </c>
      <c r="D298" t="s">
        <v>13</v>
      </c>
      <c r="E298" t="s">
        <v>79</v>
      </c>
      <c r="F298" t="s">
        <v>28</v>
      </c>
      <c r="G298" t="s">
        <v>29</v>
      </c>
      <c r="H298" t="s">
        <v>52</v>
      </c>
      <c r="I298">
        <v>5</v>
      </c>
      <c r="J298">
        <v>3.87</v>
      </c>
      <c r="K298">
        <v>19.350000000000001</v>
      </c>
    </row>
    <row r="299" spans="1:11" x14ac:dyDescent="0.3">
      <c r="A299">
        <v>1298</v>
      </c>
      <c r="B299" s="3" t="s">
        <v>166</v>
      </c>
      <c r="C299" s="1" t="s">
        <v>438</v>
      </c>
      <c r="D299" t="s">
        <v>48</v>
      </c>
      <c r="E299" t="s">
        <v>79</v>
      </c>
      <c r="F299" t="s">
        <v>21</v>
      </c>
      <c r="G299" t="s">
        <v>70</v>
      </c>
      <c r="H299" t="s">
        <v>71</v>
      </c>
      <c r="I299">
        <v>4</v>
      </c>
      <c r="J299">
        <v>5.66</v>
      </c>
      <c r="K299">
        <v>22.64</v>
      </c>
    </row>
    <row r="300" spans="1:11" x14ac:dyDescent="0.3">
      <c r="A300">
        <v>1299</v>
      </c>
      <c r="B300" s="3" t="s">
        <v>203</v>
      </c>
      <c r="C300" s="1" t="s">
        <v>439</v>
      </c>
      <c r="D300" t="s">
        <v>42</v>
      </c>
      <c r="E300" t="s">
        <v>51</v>
      </c>
      <c r="F300" t="s">
        <v>28</v>
      </c>
      <c r="G300" t="s">
        <v>16</v>
      </c>
      <c r="H300" t="s">
        <v>76</v>
      </c>
      <c r="I300">
        <v>2</v>
      </c>
      <c r="J300">
        <v>3.98</v>
      </c>
      <c r="K300">
        <v>7.96</v>
      </c>
    </row>
    <row r="301" spans="1:11" x14ac:dyDescent="0.3">
      <c r="A301">
        <v>1300</v>
      </c>
      <c r="B301" s="3" t="s">
        <v>118</v>
      </c>
      <c r="C301" s="1" t="s">
        <v>440</v>
      </c>
      <c r="D301" t="s">
        <v>42</v>
      </c>
      <c r="E301" t="s">
        <v>27</v>
      </c>
      <c r="F301" t="s">
        <v>15</v>
      </c>
      <c r="G301" t="s">
        <v>70</v>
      </c>
      <c r="H301" t="s">
        <v>90</v>
      </c>
      <c r="I301">
        <v>5</v>
      </c>
      <c r="J301">
        <v>5.19</v>
      </c>
      <c r="K301">
        <v>25.95</v>
      </c>
    </row>
    <row r="302" spans="1:11" x14ac:dyDescent="0.3">
      <c r="A302">
        <v>1301</v>
      </c>
      <c r="B302" s="3" t="s">
        <v>120</v>
      </c>
      <c r="C302" s="1" t="s">
        <v>441</v>
      </c>
      <c r="D302" t="s">
        <v>33</v>
      </c>
      <c r="E302" t="s">
        <v>20</v>
      </c>
      <c r="F302" t="s">
        <v>15</v>
      </c>
      <c r="G302" t="s">
        <v>16</v>
      </c>
      <c r="H302" t="s">
        <v>17</v>
      </c>
      <c r="I302">
        <v>1</v>
      </c>
      <c r="J302">
        <v>5.3</v>
      </c>
      <c r="K302">
        <v>5.3</v>
      </c>
    </row>
    <row r="303" spans="1:11" x14ac:dyDescent="0.3">
      <c r="A303">
        <v>1302</v>
      </c>
      <c r="B303" s="3" t="s">
        <v>355</v>
      </c>
      <c r="C303" s="1" t="s">
        <v>442</v>
      </c>
      <c r="D303" t="s">
        <v>38</v>
      </c>
      <c r="E303" t="s">
        <v>39</v>
      </c>
      <c r="F303" t="s">
        <v>21</v>
      </c>
      <c r="G303" t="s">
        <v>29</v>
      </c>
      <c r="H303" t="s">
        <v>43</v>
      </c>
      <c r="I303">
        <v>3</v>
      </c>
      <c r="J303">
        <v>5.13</v>
      </c>
      <c r="K303">
        <v>15.39</v>
      </c>
    </row>
    <row r="304" spans="1:11" x14ac:dyDescent="0.3">
      <c r="A304">
        <v>1303</v>
      </c>
      <c r="B304" s="3" t="s">
        <v>55</v>
      </c>
      <c r="C304" s="1" t="s">
        <v>207</v>
      </c>
      <c r="D304" t="s">
        <v>38</v>
      </c>
      <c r="E304" t="s">
        <v>20</v>
      </c>
      <c r="F304" t="s">
        <v>28</v>
      </c>
      <c r="G304" t="s">
        <v>70</v>
      </c>
      <c r="H304" t="s">
        <v>90</v>
      </c>
      <c r="I304">
        <v>3</v>
      </c>
      <c r="J304">
        <v>4.51</v>
      </c>
      <c r="K304">
        <v>13.53</v>
      </c>
    </row>
    <row r="305" spans="1:11" x14ac:dyDescent="0.3">
      <c r="A305">
        <v>1304</v>
      </c>
      <c r="B305" s="3" t="s">
        <v>443</v>
      </c>
      <c r="C305" s="1" t="s">
        <v>444</v>
      </c>
      <c r="D305" t="s">
        <v>42</v>
      </c>
      <c r="E305" t="s">
        <v>79</v>
      </c>
      <c r="F305" t="s">
        <v>21</v>
      </c>
      <c r="G305" t="s">
        <v>29</v>
      </c>
      <c r="H305" t="s">
        <v>43</v>
      </c>
      <c r="I305">
        <v>3</v>
      </c>
      <c r="J305">
        <v>4.5199999999999996</v>
      </c>
      <c r="K305">
        <v>13.56</v>
      </c>
    </row>
    <row r="306" spans="1:11" x14ac:dyDescent="0.3">
      <c r="A306">
        <v>1305</v>
      </c>
      <c r="B306" s="3" t="s">
        <v>284</v>
      </c>
      <c r="C306" s="1" t="s">
        <v>383</v>
      </c>
      <c r="D306" t="s">
        <v>38</v>
      </c>
      <c r="E306" t="s">
        <v>27</v>
      </c>
      <c r="F306" t="s">
        <v>21</v>
      </c>
      <c r="G306" t="s">
        <v>16</v>
      </c>
      <c r="H306" t="s">
        <v>35</v>
      </c>
      <c r="I306">
        <v>3</v>
      </c>
      <c r="J306">
        <v>4.07</v>
      </c>
      <c r="K306">
        <v>12.21</v>
      </c>
    </row>
    <row r="307" spans="1:11" x14ac:dyDescent="0.3">
      <c r="A307">
        <v>1306</v>
      </c>
      <c r="B307" s="3" t="s">
        <v>151</v>
      </c>
      <c r="C307" s="1" t="s">
        <v>188</v>
      </c>
      <c r="D307" t="s">
        <v>13</v>
      </c>
      <c r="E307" t="s">
        <v>34</v>
      </c>
      <c r="F307" t="s">
        <v>21</v>
      </c>
      <c r="G307" t="s">
        <v>16</v>
      </c>
      <c r="H307" t="s">
        <v>76</v>
      </c>
      <c r="I307">
        <v>1</v>
      </c>
      <c r="J307">
        <v>2.92</v>
      </c>
      <c r="K307">
        <v>2.92</v>
      </c>
    </row>
    <row r="308" spans="1:11" x14ac:dyDescent="0.3">
      <c r="A308">
        <v>1307</v>
      </c>
      <c r="B308" s="3" t="s">
        <v>445</v>
      </c>
      <c r="C308" s="1" t="s">
        <v>446</v>
      </c>
      <c r="D308" t="s">
        <v>13</v>
      </c>
      <c r="E308" t="s">
        <v>51</v>
      </c>
      <c r="F308" t="s">
        <v>21</v>
      </c>
      <c r="G308" t="s">
        <v>29</v>
      </c>
      <c r="H308" t="s">
        <v>43</v>
      </c>
      <c r="I308">
        <v>2</v>
      </c>
      <c r="J308">
        <v>3.66</v>
      </c>
      <c r="K308">
        <v>7.32</v>
      </c>
    </row>
    <row r="309" spans="1:11" x14ac:dyDescent="0.3">
      <c r="A309">
        <v>1308</v>
      </c>
      <c r="B309" s="3" t="s">
        <v>447</v>
      </c>
      <c r="C309" s="1" t="s">
        <v>179</v>
      </c>
      <c r="D309" t="s">
        <v>38</v>
      </c>
      <c r="E309" t="s">
        <v>39</v>
      </c>
      <c r="F309" t="s">
        <v>28</v>
      </c>
      <c r="G309" t="s">
        <v>29</v>
      </c>
      <c r="H309" t="s">
        <v>30</v>
      </c>
      <c r="I309">
        <v>3</v>
      </c>
      <c r="J309">
        <v>3.47</v>
      </c>
      <c r="K309">
        <v>10.41</v>
      </c>
    </row>
    <row r="310" spans="1:11" x14ac:dyDescent="0.3">
      <c r="A310">
        <v>1309</v>
      </c>
      <c r="B310" s="3" t="s">
        <v>350</v>
      </c>
      <c r="C310" s="1" t="s">
        <v>448</v>
      </c>
      <c r="D310" t="s">
        <v>48</v>
      </c>
      <c r="E310" t="s">
        <v>51</v>
      </c>
      <c r="F310" t="s">
        <v>28</v>
      </c>
      <c r="G310" t="s">
        <v>70</v>
      </c>
      <c r="H310" t="s">
        <v>95</v>
      </c>
      <c r="I310">
        <v>5</v>
      </c>
      <c r="J310">
        <v>5.73</v>
      </c>
      <c r="K310">
        <v>28.65</v>
      </c>
    </row>
    <row r="311" spans="1:11" x14ac:dyDescent="0.3">
      <c r="A311">
        <v>1310</v>
      </c>
      <c r="B311" s="3" t="s">
        <v>192</v>
      </c>
      <c r="C311" s="1" t="s">
        <v>449</v>
      </c>
      <c r="D311" t="s">
        <v>13</v>
      </c>
      <c r="E311" t="s">
        <v>27</v>
      </c>
      <c r="F311" t="s">
        <v>21</v>
      </c>
      <c r="G311" t="s">
        <v>70</v>
      </c>
      <c r="H311" t="s">
        <v>95</v>
      </c>
      <c r="I311">
        <v>3</v>
      </c>
      <c r="J311">
        <v>3.42</v>
      </c>
      <c r="K311">
        <v>10.26</v>
      </c>
    </row>
    <row r="312" spans="1:11" x14ac:dyDescent="0.3">
      <c r="A312">
        <v>1311</v>
      </c>
      <c r="B312" s="3" t="s">
        <v>213</v>
      </c>
      <c r="C312" s="1" t="s">
        <v>136</v>
      </c>
      <c r="D312" t="s">
        <v>13</v>
      </c>
      <c r="E312" t="s">
        <v>20</v>
      </c>
      <c r="F312" t="s">
        <v>28</v>
      </c>
      <c r="G312" t="s">
        <v>16</v>
      </c>
      <c r="H312" t="s">
        <v>17</v>
      </c>
      <c r="I312">
        <v>5</v>
      </c>
      <c r="J312">
        <v>4.7</v>
      </c>
      <c r="K312">
        <v>23.5</v>
      </c>
    </row>
    <row r="313" spans="1:11" x14ac:dyDescent="0.3">
      <c r="A313">
        <v>1312</v>
      </c>
      <c r="B313" s="3" t="s">
        <v>418</v>
      </c>
      <c r="C313" s="1" t="s">
        <v>429</v>
      </c>
      <c r="D313" t="s">
        <v>42</v>
      </c>
      <c r="E313" t="s">
        <v>14</v>
      </c>
      <c r="F313" t="s">
        <v>28</v>
      </c>
      <c r="G313" t="s">
        <v>70</v>
      </c>
      <c r="H313" t="s">
        <v>71</v>
      </c>
      <c r="I313">
        <v>4</v>
      </c>
      <c r="J313">
        <v>3.9</v>
      </c>
      <c r="K313">
        <v>15.6</v>
      </c>
    </row>
    <row r="314" spans="1:11" x14ac:dyDescent="0.3">
      <c r="A314">
        <v>1313</v>
      </c>
      <c r="B314" s="3" t="s">
        <v>171</v>
      </c>
      <c r="C314" s="1" t="s">
        <v>450</v>
      </c>
      <c r="D314" t="s">
        <v>13</v>
      </c>
      <c r="E314" t="s">
        <v>79</v>
      </c>
      <c r="F314" t="s">
        <v>21</v>
      </c>
      <c r="G314" t="s">
        <v>70</v>
      </c>
      <c r="H314" t="s">
        <v>90</v>
      </c>
      <c r="I314">
        <v>3</v>
      </c>
      <c r="J314">
        <v>2.4300000000000002</v>
      </c>
      <c r="K314">
        <v>7.29</v>
      </c>
    </row>
    <row r="315" spans="1:11" x14ac:dyDescent="0.3">
      <c r="A315">
        <v>1314</v>
      </c>
      <c r="B315" s="3" t="s">
        <v>321</v>
      </c>
      <c r="C315" s="1" t="s">
        <v>399</v>
      </c>
      <c r="D315" t="s">
        <v>33</v>
      </c>
      <c r="E315" t="s">
        <v>20</v>
      </c>
      <c r="F315" t="s">
        <v>15</v>
      </c>
      <c r="G315" t="s">
        <v>29</v>
      </c>
      <c r="H315" t="s">
        <v>43</v>
      </c>
      <c r="I315">
        <v>4</v>
      </c>
      <c r="J315">
        <v>2.54</v>
      </c>
      <c r="K315">
        <v>10.16</v>
      </c>
    </row>
    <row r="316" spans="1:11" x14ac:dyDescent="0.3">
      <c r="A316">
        <v>1315</v>
      </c>
      <c r="B316" s="3" t="s">
        <v>363</v>
      </c>
      <c r="C316" s="1" t="s">
        <v>451</v>
      </c>
      <c r="D316" t="s">
        <v>26</v>
      </c>
      <c r="E316" t="s">
        <v>34</v>
      </c>
      <c r="F316" t="s">
        <v>28</v>
      </c>
      <c r="G316" t="s">
        <v>29</v>
      </c>
      <c r="H316" t="s">
        <v>52</v>
      </c>
      <c r="I316">
        <v>2</v>
      </c>
      <c r="J316">
        <v>5.18</v>
      </c>
      <c r="K316">
        <v>10.36</v>
      </c>
    </row>
    <row r="317" spans="1:11" x14ac:dyDescent="0.3">
      <c r="A317">
        <v>1316</v>
      </c>
      <c r="B317" s="3" t="s">
        <v>308</v>
      </c>
      <c r="C317" s="1" t="s">
        <v>265</v>
      </c>
      <c r="D317" t="s">
        <v>42</v>
      </c>
      <c r="E317" t="s">
        <v>27</v>
      </c>
      <c r="F317" t="s">
        <v>28</v>
      </c>
      <c r="G317" t="s">
        <v>22</v>
      </c>
      <c r="H317" t="s">
        <v>23</v>
      </c>
      <c r="I317">
        <v>3</v>
      </c>
      <c r="J317">
        <v>3.57</v>
      </c>
      <c r="K317">
        <v>10.71</v>
      </c>
    </row>
    <row r="318" spans="1:11" x14ac:dyDescent="0.3">
      <c r="A318">
        <v>1317</v>
      </c>
      <c r="B318" s="3" t="s">
        <v>270</v>
      </c>
      <c r="C318" s="1" t="s">
        <v>452</v>
      </c>
      <c r="D318" t="s">
        <v>33</v>
      </c>
      <c r="E318" t="s">
        <v>34</v>
      </c>
      <c r="F318" t="s">
        <v>21</v>
      </c>
      <c r="G318" t="s">
        <v>29</v>
      </c>
      <c r="H318" t="s">
        <v>30</v>
      </c>
      <c r="I318">
        <v>5</v>
      </c>
      <c r="J318">
        <v>5.66</v>
      </c>
      <c r="K318">
        <v>28.3</v>
      </c>
    </row>
    <row r="319" spans="1:11" x14ac:dyDescent="0.3">
      <c r="A319">
        <v>1318</v>
      </c>
      <c r="B319" s="3" t="s">
        <v>112</v>
      </c>
      <c r="C319" s="1" t="s">
        <v>453</v>
      </c>
      <c r="D319" t="s">
        <v>48</v>
      </c>
      <c r="E319" t="s">
        <v>14</v>
      </c>
      <c r="F319" t="s">
        <v>28</v>
      </c>
      <c r="G319" t="s">
        <v>16</v>
      </c>
      <c r="H319" t="s">
        <v>76</v>
      </c>
      <c r="I319">
        <v>1</v>
      </c>
      <c r="J319">
        <v>3.61</v>
      </c>
      <c r="K319">
        <v>3.61</v>
      </c>
    </row>
    <row r="320" spans="1:11" x14ac:dyDescent="0.3">
      <c r="A320">
        <v>1319</v>
      </c>
      <c r="B320" s="3" t="s">
        <v>124</v>
      </c>
      <c r="C320" s="1" t="s">
        <v>87</v>
      </c>
      <c r="D320" t="s">
        <v>48</v>
      </c>
      <c r="E320" t="s">
        <v>14</v>
      </c>
      <c r="F320" t="s">
        <v>21</v>
      </c>
      <c r="G320" t="s">
        <v>16</v>
      </c>
      <c r="H320" t="s">
        <v>17</v>
      </c>
      <c r="I320">
        <v>1</v>
      </c>
      <c r="J320">
        <v>2.2599999999999998</v>
      </c>
      <c r="K320">
        <v>2.2599999999999998</v>
      </c>
    </row>
    <row r="321" spans="1:11" x14ac:dyDescent="0.3">
      <c r="A321">
        <v>1320</v>
      </c>
      <c r="B321" s="3" t="s">
        <v>454</v>
      </c>
      <c r="C321" s="1" t="s">
        <v>455</v>
      </c>
      <c r="D321" t="s">
        <v>26</v>
      </c>
      <c r="E321" t="s">
        <v>27</v>
      </c>
      <c r="F321" t="s">
        <v>21</v>
      </c>
      <c r="G321" t="s">
        <v>22</v>
      </c>
      <c r="H321" t="s">
        <v>23</v>
      </c>
      <c r="I321">
        <v>2</v>
      </c>
      <c r="J321">
        <v>4.33</v>
      </c>
      <c r="K321">
        <v>8.66</v>
      </c>
    </row>
    <row r="322" spans="1:11" x14ac:dyDescent="0.3">
      <c r="A322">
        <v>1321</v>
      </c>
      <c r="B322" s="3" t="s">
        <v>104</v>
      </c>
      <c r="C322" s="1" t="s">
        <v>456</v>
      </c>
      <c r="D322" t="s">
        <v>42</v>
      </c>
      <c r="E322" t="s">
        <v>39</v>
      </c>
      <c r="F322" t="s">
        <v>15</v>
      </c>
      <c r="G322" t="s">
        <v>29</v>
      </c>
      <c r="H322" t="s">
        <v>52</v>
      </c>
      <c r="I322">
        <v>2</v>
      </c>
      <c r="J322">
        <v>5.1100000000000003</v>
      </c>
      <c r="K322">
        <v>10.220000000000001</v>
      </c>
    </row>
    <row r="323" spans="1:11" x14ac:dyDescent="0.3">
      <c r="A323">
        <v>1322</v>
      </c>
      <c r="B323" s="3" t="s">
        <v>236</v>
      </c>
      <c r="C323" s="1" t="s">
        <v>457</v>
      </c>
      <c r="D323" t="s">
        <v>42</v>
      </c>
      <c r="E323" t="s">
        <v>79</v>
      </c>
      <c r="F323" t="s">
        <v>15</v>
      </c>
      <c r="G323" t="s">
        <v>22</v>
      </c>
      <c r="H323" t="s">
        <v>23</v>
      </c>
      <c r="I323">
        <v>3</v>
      </c>
      <c r="J323">
        <v>4.03</v>
      </c>
      <c r="K323">
        <v>12.09</v>
      </c>
    </row>
    <row r="324" spans="1:11" x14ac:dyDescent="0.3">
      <c r="A324">
        <v>1323</v>
      </c>
      <c r="B324" s="3" t="s">
        <v>62</v>
      </c>
      <c r="C324" s="1" t="s">
        <v>257</v>
      </c>
      <c r="D324" t="s">
        <v>33</v>
      </c>
      <c r="E324" t="s">
        <v>39</v>
      </c>
      <c r="F324" t="s">
        <v>28</v>
      </c>
      <c r="G324" t="s">
        <v>70</v>
      </c>
      <c r="H324" t="s">
        <v>95</v>
      </c>
      <c r="I324">
        <v>4</v>
      </c>
      <c r="J324">
        <v>4.95</v>
      </c>
      <c r="K324">
        <v>19.8</v>
      </c>
    </row>
    <row r="325" spans="1:11" x14ac:dyDescent="0.3">
      <c r="A325">
        <v>1324</v>
      </c>
      <c r="B325" s="3" t="s">
        <v>303</v>
      </c>
      <c r="C325" s="1" t="s">
        <v>458</v>
      </c>
      <c r="D325" t="s">
        <v>26</v>
      </c>
      <c r="E325" t="s">
        <v>14</v>
      </c>
      <c r="F325" t="s">
        <v>21</v>
      </c>
      <c r="G325" t="s">
        <v>29</v>
      </c>
      <c r="H325" t="s">
        <v>30</v>
      </c>
      <c r="I325">
        <v>1</v>
      </c>
      <c r="J325">
        <v>4.49</v>
      </c>
      <c r="K325">
        <v>4.49</v>
      </c>
    </row>
    <row r="326" spans="1:11" x14ac:dyDescent="0.3">
      <c r="A326">
        <v>1325</v>
      </c>
      <c r="B326" s="3" t="s">
        <v>459</v>
      </c>
      <c r="C326" s="1" t="s">
        <v>125</v>
      </c>
      <c r="D326" t="s">
        <v>13</v>
      </c>
      <c r="E326" t="s">
        <v>39</v>
      </c>
      <c r="F326" t="s">
        <v>21</v>
      </c>
      <c r="G326" t="s">
        <v>70</v>
      </c>
      <c r="H326" t="s">
        <v>71</v>
      </c>
      <c r="I326">
        <v>2</v>
      </c>
      <c r="J326">
        <v>5.1100000000000003</v>
      </c>
      <c r="K326">
        <v>10.220000000000001</v>
      </c>
    </row>
    <row r="327" spans="1:11" x14ac:dyDescent="0.3">
      <c r="A327">
        <v>1326</v>
      </c>
      <c r="B327" s="3" t="s">
        <v>234</v>
      </c>
      <c r="C327" s="1" t="s">
        <v>460</v>
      </c>
      <c r="D327" t="s">
        <v>33</v>
      </c>
      <c r="E327" t="s">
        <v>51</v>
      </c>
      <c r="F327" t="s">
        <v>21</v>
      </c>
      <c r="G327" t="s">
        <v>16</v>
      </c>
      <c r="H327" t="s">
        <v>17</v>
      </c>
      <c r="I327">
        <v>1</v>
      </c>
      <c r="J327">
        <v>2.74</v>
      </c>
      <c r="K327">
        <v>2.74</v>
      </c>
    </row>
    <row r="328" spans="1:11" x14ac:dyDescent="0.3">
      <c r="A328">
        <v>1327</v>
      </c>
      <c r="B328" s="3" t="s">
        <v>199</v>
      </c>
      <c r="C328" s="1" t="s">
        <v>461</v>
      </c>
      <c r="D328" t="s">
        <v>13</v>
      </c>
      <c r="E328" t="s">
        <v>79</v>
      </c>
      <c r="F328" t="s">
        <v>28</v>
      </c>
      <c r="G328" t="s">
        <v>16</v>
      </c>
      <c r="H328" t="s">
        <v>17</v>
      </c>
      <c r="I328">
        <v>4</v>
      </c>
      <c r="J328">
        <v>3.84</v>
      </c>
      <c r="K328">
        <v>15.36</v>
      </c>
    </row>
    <row r="329" spans="1:11" x14ac:dyDescent="0.3">
      <c r="A329">
        <v>1328</v>
      </c>
      <c r="B329" s="3" t="s">
        <v>44</v>
      </c>
      <c r="C329" s="1" t="s">
        <v>462</v>
      </c>
      <c r="D329" t="s">
        <v>42</v>
      </c>
      <c r="E329" t="s">
        <v>34</v>
      </c>
      <c r="F329" t="s">
        <v>28</v>
      </c>
      <c r="G329" t="s">
        <v>16</v>
      </c>
      <c r="H329" t="s">
        <v>76</v>
      </c>
      <c r="I329">
        <v>1</v>
      </c>
      <c r="J329">
        <v>3.59</v>
      </c>
      <c r="K329">
        <v>3.59</v>
      </c>
    </row>
    <row r="330" spans="1:11" x14ac:dyDescent="0.3">
      <c r="A330">
        <v>1329</v>
      </c>
      <c r="B330" s="3" t="s">
        <v>160</v>
      </c>
      <c r="C330" s="1" t="s">
        <v>463</v>
      </c>
      <c r="D330" t="s">
        <v>33</v>
      </c>
      <c r="E330" t="s">
        <v>20</v>
      </c>
      <c r="F330" t="s">
        <v>15</v>
      </c>
      <c r="G330" t="s">
        <v>70</v>
      </c>
      <c r="H330" t="s">
        <v>71</v>
      </c>
      <c r="I330">
        <v>3</v>
      </c>
      <c r="J330">
        <v>2.93</v>
      </c>
      <c r="K330">
        <v>8.7899999999999991</v>
      </c>
    </row>
    <row r="331" spans="1:11" x14ac:dyDescent="0.3">
      <c r="A331">
        <v>1330</v>
      </c>
      <c r="B331" s="3" t="s">
        <v>464</v>
      </c>
      <c r="C331" s="1" t="s">
        <v>101</v>
      </c>
      <c r="D331" t="s">
        <v>48</v>
      </c>
      <c r="E331" t="s">
        <v>14</v>
      </c>
      <c r="F331" t="s">
        <v>21</v>
      </c>
      <c r="G331" t="s">
        <v>16</v>
      </c>
      <c r="H331" t="s">
        <v>17</v>
      </c>
      <c r="I331">
        <v>3</v>
      </c>
      <c r="J331">
        <v>3.78</v>
      </c>
      <c r="K331">
        <v>11.34</v>
      </c>
    </row>
    <row r="332" spans="1:11" x14ac:dyDescent="0.3">
      <c r="A332">
        <v>1331</v>
      </c>
      <c r="B332" s="3" t="s">
        <v>465</v>
      </c>
      <c r="C332" s="1" t="s">
        <v>466</v>
      </c>
      <c r="D332" t="s">
        <v>42</v>
      </c>
      <c r="E332" t="s">
        <v>51</v>
      </c>
      <c r="F332" t="s">
        <v>15</v>
      </c>
      <c r="G332" t="s">
        <v>29</v>
      </c>
      <c r="H332" t="s">
        <v>43</v>
      </c>
      <c r="I332">
        <v>4</v>
      </c>
      <c r="J332">
        <v>2.89</v>
      </c>
      <c r="K332">
        <v>11.56</v>
      </c>
    </row>
    <row r="333" spans="1:11" x14ac:dyDescent="0.3">
      <c r="A333">
        <v>1332</v>
      </c>
      <c r="B333" s="3" t="s">
        <v>49</v>
      </c>
      <c r="C333" s="1" t="s">
        <v>467</v>
      </c>
      <c r="D333" t="s">
        <v>38</v>
      </c>
      <c r="E333" t="s">
        <v>51</v>
      </c>
      <c r="F333" t="s">
        <v>28</v>
      </c>
      <c r="G333" t="s">
        <v>29</v>
      </c>
      <c r="H333" t="s">
        <v>43</v>
      </c>
      <c r="I333">
        <v>5</v>
      </c>
      <c r="J333">
        <v>4.32</v>
      </c>
      <c r="K333">
        <v>21.6</v>
      </c>
    </row>
    <row r="334" spans="1:11" x14ac:dyDescent="0.3">
      <c r="A334">
        <v>1333</v>
      </c>
      <c r="B334" s="3" t="s">
        <v>183</v>
      </c>
      <c r="C334" s="1" t="s">
        <v>468</v>
      </c>
      <c r="D334" t="s">
        <v>48</v>
      </c>
      <c r="E334" t="s">
        <v>34</v>
      </c>
      <c r="F334" t="s">
        <v>28</v>
      </c>
      <c r="G334" t="s">
        <v>29</v>
      </c>
      <c r="H334" t="s">
        <v>43</v>
      </c>
      <c r="I334">
        <v>2</v>
      </c>
      <c r="J334">
        <v>4.6900000000000004</v>
      </c>
      <c r="K334">
        <v>9.3800000000000008</v>
      </c>
    </row>
    <row r="335" spans="1:11" x14ac:dyDescent="0.3">
      <c r="A335">
        <v>1334</v>
      </c>
      <c r="B335" s="3" t="s">
        <v>469</v>
      </c>
      <c r="C335" s="1" t="s">
        <v>470</v>
      </c>
      <c r="D335" t="s">
        <v>33</v>
      </c>
      <c r="E335" t="s">
        <v>79</v>
      </c>
      <c r="F335" t="s">
        <v>28</v>
      </c>
      <c r="G335" t="s">
        <v>70</v>
      </c>
      <c r="H335" t="s">
        <v>95</v>
      </c>
      <c r="I335">
        <v>2</v>
      </c>
      <c r="J335">
        <v>4.9800000000000004</v>
      </c>
      <c r="K335">
        <v>9.9600000000000009</v>
      </c>
    </row>
    <row r="336" spans="1:11" x14ac:dyDescent="0.3">
      <c r="A336">
        <v>1335</v>
      </c>
      <c r="B336" s="3" t="s">
        <v>153</v>
      </c>
      <c r="C336" s="1" t="s">
        <v>471</v>
      </c>
      <c r="D336" t="s">
        <v>13</v>
      </c>
      <c r="E336" t="s">
        <v>14</v>
      </c>
      <c r="F336" t="s">
        <v>28</v>
      </c>
      <c r="G336" t="s">
        <v>29</v>
      </c>
      <c r="H336" t="s">
        <v>30</v>
      </c>
      <c r="I336">
        <v>5</v>
      </c>
      <c r="J336">
        <v>3.84</v>
      </c>
      <c r="K336">
        <v>19.2</v>
      </c>
    </row>
    <row r="337" spans="1:11" x14ac:dyDescent="0.3">
      <c r="A337">
        <v>1336</v>
      </c>
      <c r="B337" s="3" t="s">
        <v>175</v>
      </c>
      <c r="C337" s="1" t="s">
        <v>472</v>
      </c>
      <c r="D337" t="s">
        <v>48</v>
      </c>
      <c r="E337" t="s">
        <v>51</v>
      </c>
      <c r="F337" t="s">
        <v>28</v>
      </c>
      <c r="G337" t="s">
        <v>70</v>
      </c>
      <c r="H337" t="s">
        <v>95</v>
      </c>
      <c r="I337">
        <v>3</v>
      </c>
      <c r="J337">
        <v>3.33</v>
      </c>
      <c r="K337">
        <v>9.99</v>
      </c>
    </row>
    <row r="338" spans="1:11" x14ac:dyDescent="0.3">
      <c r="A338">
        <v>1337</v>
      </c>
      <c r="B338" s="3" t="s">
        <v>181</v>
      </c>
      <c r="C338" s="1" t="s">
        <v>307</v>
      </c>
      <c r="D338" t="s">
        <v>26</v>
      </c>
      <c r="E338" t="s">
        <v>20</v>
      </c>
      <c r="F338" t="s">
        <v>28</v>
      </c>
      <c r="G338" t="s">
        <v>16</v>
      </c>
      <c r="H338" t="s">
        <v>76</v>
      </c>
      <c r="I338">
        <v>5</v>
      </c>
      <c r="J338">
        <v>3.34</v>
      </c>
      <c r="K338">
        <v>16.7</v>
      </c>
    </row>
    <row r="339" spans="1:11" x14ac:dyDescent="0.3">
      <c r="A339">
        <v>1338</v>
      </c>
      <c r="B339" s="3" t="s">
        <v>473</v>
      </c>
      <c r="C339" s="1" t="s">
        <v>474</v>
      </c>
      <c r="D339" t="s">
        <v>33</v>
      </c>
      <c r="E339" t="s">
        <v>27</v>
      </c>
      <c r="F339" t="s">
        <v>21</v>
      </c>
      <c r="G339" t="s">
        <v>22</v>
      </c>
      <c r="H339" t="s">
        <v>23</v>
      </c>
      <c r="I339">
        <v>3</v>
      </c>
      <c r="J339">
        <v>4.6500000000000004</v>
      </c>
      <c r="K339">
        <v>13.95</v>
      </c>
    </row>
    <row r="340" spans="1:11" x14ac:dyDescent="0.3">
      <c r="A340">
        <v>1339</v>
      </c>
      <c r="B340" s="3" t="s">
        <v>108</v>
      </c>
      <c r="C340" s="1" t="s">
        <v>404</v>
      </c>
      <c r="D340" t="s">
        <v>38</v>
      </c>
      <c r="E340" t="s">
        <v>79</v>
      </c>
      <c r="F340" t="s">
        <v>21</v>
      </c>
      <c r="G340" t="s">
        <v>16</v>
      </c>
      <c r="H340" t="s">
        <v>76</v>
      </c>
      <c r="I340">
        <v>4</v>
      </c>
      <c r="J340">
        <v>2.35</v>
      </c>
      <c r="K340">
        <v>9.4</v>
      </c>
    </row>
    <row r="341" spans="1:11" x14ac:dyDescent="0.3">
      <c r="A341">
        <v>1340</v>
      </c>
      <c r="B341" s="3" t="s">
        <v>236</v>
      </c>
      <c r="C341" s="1" t="s">
        <v>19</v>
      </c>
      <c r="D341" t="s">
        <v>42</v>
      </c>
      <c r="E341" t="s">
        <v>79</v>
      </c>
      <c r="F341" t="s">
        <v>28</v>
      </c>
      <c r="G341" t="s">
        <v>70</v>
      </c>
      <c r="H341" t="s">
        <v>71</v>
      </c>
      <c r="I341">
        <v>2</v>
      </c>
      <c r="J341">
        <v>3.7</v>
      </c>
      <c r="K341">
        <v>7.4</v>
      </c>
    </row>
    <row r="342" spans="1:11" x14ac:dyDescent="0.3">
      <c r="A342">
        <v>1341</v>
      </c>
      <c r="B342" s="3" t="s">
        <v>181</v>
      </c>
      <c r="C342" s="1" t="s">
        <v>314</v>
      </c>
      <c r="D342" t="s">
        <v>26</v>
      </c>
      <c r="E342" t="s">
        <v>20</v>
      </c>
      <c r="F342" t="s">
        <v>21</v>
      </c>
      <c r="G342" t="s">
        <v>16</v>
      </c>
      <c r="H342" t="s">
        <v>76</v>
      </c>
      <c r="I342">
        <v>4</v>
      </c>
      <c r="J342">
        <v>5.37</v>
      </c>
      <c r="K342">
        <v>21.48</v>
      </c>
    </row>
    <row r="343" spans="1:11" x14ac:dyDescent="0.3">
      <c r="A343">
        <v>1342</v>
      </c>
      <c r="B343" s="3" t="s">
        <v>475</v>
      </c>
      <c r="C343" s="1" t="s">
        <v>476</v>
      </c>
      <c r="D343" t="s">
        <v>48</v>
      </c>
      <c r="E343" t="s">
        <v>27</v>
      </c>
      <c r="F343" t="s">
        <v>21</v>
      </c>
      <c r="G343" t="s">
        <v>16</v>
      </c>
      <c r="H343" t="s">
        <v>76</v>
      </c>
      <c r="I343">
        <v>3</v>
      </c>
      <c r="J343">
        <v>5.22</v>
      </c>
      <c r="K343">
        <v>15.66</v>
      </c>
    </row>
    <row r="344" spans="1:11" x14ac:dyDescent="0.3">
      <c r="A344">
        <v>1343</v>
      </c>
      <c r="B344" s="3" t="s">
        <v>297</v>
      </c>
      <c r="C344" s="1" t="s">
        <v>477</v>
      </c>
      <c r="D344" t="s">
        <v>42</v>
      </c>
      <c r="E344" t="s">
        <v>14</v>
      </c>
      <c r="F344" t="s">
        <v>28</v>
      </c>
      <c r="G344" t="s">
        <v>22</v>
      </c>
      <c r="H344" t="s">
        <v>23</v>
      </c>
      <c r="I344">
        <v>5</v>
      </c>
      <c r="J344">
        <v>3.91</v>
      </c>
      <c r="K344">
        <v>19.55</v>
      </c>
    </row>
    <row r="345" spans="1:11" x14ac:dyDescent="0.3">
      <c r="A345">
        <v>1344</v>
      </c>
      <c r="B345" s="3" t="s">
        <v>118</v>
      </c>
      <c r="C345" s="1" t="s">
        <v>450</v>
      </c>
      <c r="D345" t="s">
        <v>42</v>
      </c>
      <c r="E345" t="s">
        <v>27</v>
      </c>
      <c r="F345" t="s">
        <v>21</v>
      </c>
      <c r="G345" t="s">
        <v>16</v>
      </c>
      <c r="H345" t="s">
        <v>76</v>
      </c>
      <c r="I345">
        <v>4</v>
      </c>
      <c r="J345">
        <v>5.16</v>
      </c>
      <c r="K345">
        <v>20.64</v>
      </c>
    </row>
    <row r="346" spans="1:11" x14ac:dyDescent="0.3">
      <c r="A346">
        <v>1345</v>
      </c>
      <c r="B346" s="3" t="s">
        <v>49</v>
      </c>
      <c r="C346" s="1" t="s">
        <v>386</v>
      </c>
      <c r="D346" t="s">
        <v>38</v>
      </c>
      <c r="E346" t="s">
        <v>51</v>
      </c>
      <c r="F346" t="s">
        <v>28</v>
      </c>
      <c r="G346" t="s">
        <v>29</v>
      </c>
      <c r="H346" t="s">
        <v>43</v>
      </c>
      <c r="I346">
        <v>4</v>
      </c>
      <c r="J346">
        <v>2.65</v>
      </c>
      <c r="K346">
        <v>10.6</v>
      </c>
    </row>
    <row r="347" spans="1:11" x14ac:dyDescent="0.3">
      <c r="A347">
        <v>1346</v>
      </c>
      <c r="B347" s="3" t="s">
        <v>478</v>
      </c>
      <c r="C347" s="1" t="s">
        <v>479</v>
      </c>
      <c r="D347" t="s">
        <v>13</v>
      </c>
      <c r="E347" t="s">
        <v>27</v>
      </c>
      <c r="F347" t="s">
        <v>21</v>
      </c>
      <c r="G347" t="s">
        <v>70</v>
      </c>
      <c r="H347" t="s">
        <v>90</v>
      </c>
      <c r="I347">
        <v>4</v>
      </c>
      <c r="J347">
        <v>2.84</v>
      </c>
      <c r="K347">
        <v>11.36</v>
      </c>
    </row>
    <row r="348" spans="1:11" x14ac:dyDescent="0.3">
      <c r="A348">
        <v>1347</v>
      </c>
      <c r="B348" s="3" t="s">
        <v>480</v>
      </c>
      <c r="C348" s="1" t="s">
        <v>481</v>
      </c>
      <c r="D348" t="s">
        <v>13</v>
      </c>
      <c r="E348" t="s">
        <v>14</v>
      </c>
      <c r="F348" t="s">
        <v>15</v>
      </c>
      <c r="G348" t="s">
        <v>22</v>
      </c>
      <c r="H348" t="s">
        <v>23</v>
      </c>
      <c r="I348">
        <v>1</v>
      </c>
      <c r="J348">
        <v>4.57</v>
      </c>
      <c r="K348">
        <v>4.57</v>
      </c>
    </row>
    <row r="349" spans="1:11" x14ac:dyDescent="0.3">
      <c r="A349">
        <v>1348</v>
      </c>
      <c r="B349" s="3" t="s">
        <v>135</v>
      </c>
      <c r="C349" s="1" t="s">
        <v>482</v>
      </c>
      <c r="D349" t="s">
        <v>26</v>
      </c>
      <c r="E349" t="s">
        <v>79</v>
      </c>
      <c r="F349" t="s">
        <v>21</v>
      </c>
      <c r="G349" t="s">
        <v>29</v>
      </c>
      <c r="H349" t="s">
        <v>57</v>
      </c>
      <c r="I349">
        <v>1</v>
      </c>
      <c r="J349">
        <v>4.6100000000000003</v>
      </c>
      <c r="K349">
        <v>4.6100000000000003</v>
      </c>
    </row>
    <row r="350" spans="1:11" x14ac:dyDescent="0.3">
      <c r="A350">
        <v>1349</v>
      </c>
      <c r="B350" s="3" t="s">
        <v>465</v>
      </c>
      <c r="C350" s="1" t="s">
        <v>483</v>
      </c>
      <c r="D350" t="s">
        <v>42</v>
      </c>
      <c r="E350" t="s">
        <v>51</v>
      </c>
      <c r="F350" t="s">
        <v>21</v>
      </c>
      <c r="G350" t="s">
        <v>70</v>
      </c>
      <c r="H350" t="s">
        <v>71</v>
      </c>
      <c r="I350">
        <v>3</v>
      </c>
      <c r="J350">
        <v>3.62</v>
      </c>
      <c r="K350">
        <v>10.86</v>
      </c>
    </row>
    <row r="351" spans="1:11" x14ac:dyDescent="0.3">
      <c r="A351">
        <v>1350</v>
      </c>
      <c r="B351" s="3" t="s">
        <v>102</v>
      </c>
      <c r="C351" s="1" t="s">
        <v>484</v>
      </c>
      <c r="D351" t="s">
        <v>33</v>
      </c>
      <c r="E351" t="s">
        <v>14</v>
      </c>
      <c r="F351" t="s">
        <v>15</v>
      </c>
      <c r="G351" t="s">
        <v>22</v>
      </c>
      <c r="H351" t="s">
        <v>23</v>
      </c>
      <c r="I351">
        <v>3</v>
      </c>
      <c r="J351">
        <v>5.01</v>
      </c>
      <c r="K351">
        <v>15.03</v>
      </c>
    </row>
    <row r="352" spans="1:11" x14ac:dyDescent="0.3">
      <c r="A352">
        <v>1351</v>
      </c>
      <c r="B352" s="3" t="s">
        <v>326</v>
      </c>
      <c r="C352" s="1" t="s">
        <v>485</v>
      </c>
      <c r="D352" t="s">
        <v>33</v>
      </c>
      <c r="E352" t="s">
        <v>79</v>
      </c>
      <c r="F352" t="s">
        <v>21</v>
      </c>
      <c r="G352" t="s">
        <v>22</v>
      </c>
      <c r="H352" t="s">
        <v>23</v>
      </c>
      <c r="I352">
        <v>2</v>
      </c>
      <c r="J352">
        <v>3.95</v>
      </c>
      <c r="K352">
        <v>7.9</v>
      </c>
    </row>
    <row r="353" spans="1:11" x14ac:dyDescent="0.3">
      <c r="A353">
        <v>1352</v>
      </c>
      <c r="B353" s="3" t="s">
        <v>185</v>
      </c>
      <c r="C353" s="1" t="s">
        <v>486</v>
      </c>
      <c r="D353" t="s">
        <v>13</v>
      </c>
      <c r="E353" t="s">
        <v>39</v>
      </c>
      <c r="F353" t="s">
        <v>28</v>
      </c>
      <c r="G353" t="s">
        <v>22</v>
      </c>
      <c r="H353" t="s">
        <v>23</v>
      </c>
      <c r="I353">
        <v>4</v>
      </c>
      <c r="J353">
        <v>4.88</v>
      </c>
      <c r="K353">
        <v>19.52</v>
      </c>
    </row>
    <row r="354" spans="1:11" x14ac:dyDescent="0.3">
      <c r="A354">
        <v>1353</v>
      </c>
      <c r="B354" s="3" t="s">
        <v>487</v>
      </c>
      <c r="C354" s="1" t="s">
        <v>360</v>
      </c>
      <c r="D354" t="s">
        <v>26</v>
      </c>
      <c r="E354" t="s">
        <v>20</v>
      </c>
      <c r="F354" t="s">
        <v>28</v>
      </c>
      <c r="G354" t="s">
        <v>70</v>
      </c>
      <c r="H354" t="s">
        <v>71</v>
      </c>
      <c r="I354">
        <v>4</v>
      </c>
      <c r="J354">
        <v>5.15</v>
      </c>
      <c r="K354">
        <v>20.6</v>
      </c>
    </row>
    <row r="355" spans="1:11" x14ac:dyDescent="0.3">
      <c r="A355">
        <v>1354</v>
      </c>
      <c r="B355" s="3" t="s">
        <v>488</v>
      </c>
      <c r="C355" s="1" t="s">
        <v>133</v>
      </c>
      <c r="D355" t="s">
        <v>33</v>
      </c>
      <c r="E355" t="s">
        <v>14</v>
      </c>
      <c r="F355" t="s">
        <v>28</v>
      </c>
      <c r="G355" t="s">
        <v>22</v>
      </c>
      <c r="H355" t="s">
        <v>23</v>
      </c>
      <c r="I355">
        <v>5</v>
      </c>
      <c r="J355">
        <v>4.79</v>
      </c>
      <c r="K355">
        <v>23.95</v>
      </c>
    </row>
    <row r="356" spans="1:11" x14ac:dyDescent="0.3">
      <c r="A356">
        <v>1355</v>
      </c>
      <c r="B356" s="3" t="s">
        <v>489</v>
      </c>
      <c r="C356" s="1" t="s">
        <v>490</v>
      </c>
      <c r="D356" t="s">
        <v>26</v>
      </c>
      <c r="E356" t="s">
        <v>27</v>
      </c>
      <c r="F356" t="s">
        <v>15</v>
      </c>
      <c r="G356" t="s">
        <v>29</v>
      </c>
      <c r="H356" t="s">
        <v>30</v>
      </c>
      <c r="I356">
        <v>3</v>
      </c>
      <c r="J356">
        <v>2.86</v>
      </c>
      <c r="K356">
        <v>8.58</v>
      </c>
    </row>
    <row r="357" spans="1:11" x14ac:dyDescent="0.3">
      <c r="A357">
        <v>1356</v>
      </c>
      <c r="B357" s="3" t="s">
        <v>487</v>
      </c>
      <c r="C357" s="1" t="s">
        <v>85</v>
      </c>
      <c r="D357" t="s">
        <v>26</v>
      </c>
      <c r="E357" t="s">
        <v>20</v>
      </c>
      <c r="F357" t="s">
        <v>15</v>
      </c>
      <c r="G357" t="s">
        <v>22</v>
      </c>
      <c r="H357" t="s">
        <v>23</v>
      </c>
      <c r="I357">
        <v>5</v>
      </c>
      <c r="J357">
        <v>5.74</v>
      </c>
      <c r="K357">
        <v>28.7</v>
      </c>
    </row>
    <row r="358" spans="1:11" x14ac:dyDescent="0.3">
      <c r="A358">
        <v>1357</v>
      </c>
      <c r="B358" s="3" t="s">
        <v>203</v>
      </c>
      <c r="C358" s="1" t="s">
        <v>491</v>
      </c>
      <c r="D358" t="s">
        <v>42</v>
      </c>
      <c r="E358" t="s">
        <v>51</v>
      </c>
      <c r="F358" t="s">
        <v>15</v>
      </c>
      <c r="G358" t="s">
        <v>70</v>
      </c>
      <c r="H358" t="s">
        <v>90</v>
      </c>
      <c r="I358">
        <v>3</v>
      </c>
      <c r="J358">
        <v>3.8</v>
      </c>
      <c r="K358">
        <v>11.4</v>
      </c>
    </row>
    <row r="359" spans="1:11" x14ac:dyDescent="0.3">
      <c r="A359">
        <v>1358</v>
      </c>
      <c r="B359" s="3" t="s">
        <v>224</v>
      </c>
      <c r="C359" s="1" t="s">
        <v>456</v>
      </c>
      <c r="D359" t="s">
        <v>33</v>
      </c>
      <c r="E359" t="s">
        <v>14</v>
      </c>
      <c r="F359" t="s">
        <v>15</v>
      </c>
      <c r="G359" t="s">
        <v>16</v>
      </c>
      <c r="H359" t="s">
        <v>35</v>
      </c>
      <c r="I359">
        <v>3</v>
      </c>
      <c r="J359">
        <v>5.17</v>
      </c>
      <c r="K359">
        <v>15.51</v>
      </c>
    </row>
    <row r="360" spans="1:11" x14ac:dyDescent="0.3">
      <c r="A360">
        <v>1359</v>
      </c>
      <c r="B360" s="3" t="s">
        <v>323</v>
      </c>
      <c r="C360" s="1" t="s">
        <v>492</v>
      </c>
      <c r="D360" t="s">
        <v>13</v>
      </c>
      <c r="E360" t="s">
        <v>51</v>
      </c>
      <c r="F360" t="s">
        <v>21</v>
      </c>
      <c r="G360" t="s">
        <v>22</v>
      </c>
      <c r="H360" t="s">
        <v>23</v>
      </c>
      <c r="I360">
        <v>5</v>
      </c>
      <c r="J360">
        <v>4.13</v>
      </c>
      <c r="K360">
        <v>20.65</v>
      </c>
    </row>
    <row r="361" spans="1:11" x14ac:dyDescent="0.3">
      <c r="A361">
        <v>1360</v>
      </c>
      <c r="B361" s="3" t="s">
        <v>447</v>
      </c>
      <c r="C361" s="1" t="s">
        <v>493</v>
      </c>
      <c r="D361" t="s">
        <v>38</v>
      </c>
      <c r="E361" t="s">
        <v>39</v>
      </c>
      <c r="F361" t="s">
        <v>21</v>
      </c>
      <c r="G361" t="s">
        <v>29</v>
      </c>
      <c r="H361" t="s">
        <v>52</v>
      </c>
      <c r="I361">
        <v>1</v>
      </c>
      <c r="J361">
        <v>5.8</v>
      </c>
      <c r="K361">
        <v>5.8</v>
      </c>
    </row>
    <row r="362" spans="1:11" x14ac:dyDescent="0.3">
      <c r="A362">
        <v>1361</v>
      </c>
      <c r="B362" s="3" t="s">
        <v>114</v>
      </c>
      <c r="C362" s="1" t="s">
        <v>494</v>
      </c>
      <c r="D362" t="s">
        <v>26</v>
      </c>
      <c r="E362" t="s">
        <v>20</v>
      </c>
      <c r="F362" t="s">
        <v>28</v>
      </c>
      <c r="G362" t="s">
        <v>29</v>
      </c>
      <c r="H362" t="s">
        <v>43</v>
      </c>
      <c r="I362">
        <v>1</v>
      </c>
      <c r="J362">
        <v>5.38</v>
      </c>
      <c r="K362">
        <v>5.38</v>
      </c>
    </row>
    <row r="363" spans="1:11" x14ac:dyDescent="0.3">
      <c r="A363">
        <v>1362</v>
      </c>
      <c r="B363" s="3" t="s">
        <v>197</v>
      </c>
      <c r="C363" s="1" t="s">
        <v>495</v>
      </c>
      <c r="D363" t="s">
        <v>33</v>
      </c>
      <c r="E363" t="s">
        <v>79</v>
      </c>
      <c r="F363" t="s">
        <v>15</v>
      </c>
      <c r="G363" t="s">
        <v>22</v>
      </c>
      <c r="H363" t="s">
        <v>23</v>
      </c>
      <c r="I363">
        <v>3</v>
      </c>
      <c r="J363">
        <v>3.39</v>
      </c>
      <c r="K363">
        <v>10.17</v>
      </c>
    </row>
    <row r="364" spans="1:11" x14ac:dyDescent="0.3">
      <c r="A364">
        <v>1363</v>
      </c>
      <c r="B364" s="3" t="s">
        <v>372</v>
      </c>
      <c r="C364" s="1" t="s">
        <v>496</v>
      </c>
      <c r="D364" t="s">
        <v>42</v>
      </c>
      <c r="E364" t="s">
        <v>34</v>
      </c>
      <c r="F364" t="s">
        <v>15</v>
      </c>
      <c r="G364" t="s">
        <v>70</v>
      </c>
      <c r="H364" t="s">
        <v>71</v>
      </c>
      <c r="I364">
        <v>1</v>
      </c>
      <c r="J364">
        <v>2.56</v>
      </c>
      <c r="K364">
        <v>2.56</v>
      </c>
    </row>
    <row r="365" spans="1:11" x14ac:dyDescent="0.3">
      <c r="A365">
        <v>1364</v>
      </c>
      <c r="B365" s="3" t="s">
        <v>104</v>
      </c>
      <c r="C365" s="1" t="s">
        <v>497</v>
      </c>
      <c r="D365" t="s">
        <v>42</v>
      </c>
      <c r="E365" t="s">
        <v>39</v>
      </c>
      <c r="F365" t="s">
        <v>28</v>
      </c>
      <c r="G365" t="s">
        <v>29</v>
      </c>
      <c r="H365" t="s">
        <v>43</v>
      </c>
      <c r="I365">
        <v>4</v>
      </c>
      <c r="J365">
        <v>4.47</v>
      </c>
      <c r="K365">
        <v>17.88</v>
      </c>
    </row>
    <row r="366" spans="1:11" x14ac:dyDescent="0.3">
      <c r="A366">
        <v>1365</v>
      </c>
      <c r="B366" s="3" t="s">
        <v>319</v>
      </c>
      <c r="C366" s="1" t="s">
        <v>498</v>
      </c>
      <c r="D366" t="s">
        <v>26</v>
      </c>
      <c r="E366" t="s">
        <v>39</v>
      </c>
      <c r="F366" t="s">
        <v>21</v>
      </c>
      <c r="G366" t="s">
        <v>22</v>
      </c>
      <c r="H366" t="s">
        <v>23</v>
      </c>
      <c r="I366">
        <v>2</v>
      </c>
      <c r="J366">
        <v>5.23</v>
      </c>
      <c r="K366">
        <v>10.46</v>
      </c>
    </row>
    <row r="367" spans="1:11" x14ac:dyDescent="0.3">
      <c r="A367">
        <v>1366</v>
      </c>
      <c r="B367" s="3" t="s">
        <v>319</v>
      </c>
      <c r="C367" s="1" t="s">
        <v>335</v>
      </c>
      <c r="D367" t="s">
        <v>26</v>
      </c>
      <c r="E367" t="s">
        <v>39</v>
      </c>
      <c r="F367" t="s">
        <v>21</v>
      </c>
      <c r="G367" t="s">
        <v>70</v>
      </c>
      <c r="H367" t="s">
        <v>90</v>
      </c>
      <c r="I367">
        <v>5</v>
      </c>
      <c r="J367">
        <v>5.35</v>
      </c>
      <c r="K367">
        <v>26.75</v>
      </c>
    </row>
    <row r="368" spans="1:11" x14ac:dyDescent="0.3">
      <c r="A368">
        <v>1367</v>
      </c>
      <c r="B368" s="3" t="s">
        <v>137</v>
      </c>
      <c r="C368" s="1" t="s">
        <v>333</v>
      </c>
      <c r="D368" t="s">
        <v>33</v>
      </c>
      <c r="E368" t="s">
        <v>51</v>
      </c>
      <c r="F368" t="s">
        <v>21</v>
      </c>
      <c r="G368" t="s">
        <v>16</v>
      </c>
      <c r="H368" t="s">
        <v>17</v>
      </c>
      <c r="I368">
        <v>1</v>
      </c>
      <c r="J368">
        <v>2.42</v>
      </c>
      <c r="K368">
        <v>2.42</v>
      </c>
    </row>
    <row r="369" spans="1:11" x14ac:dyDescent="0.3">
      <c r="A369">
        <v>1368</v>
      </c>
      <c r="B369" s="3" t="s">
        <v>499</v>
      </c>
      <c r="C369" s="1" t="s">
        <v>285</v>
      </c>
      <c r="D369" t="s">
        <v>48</v>
      </c>
      <c r="E369" t="s">
        <v>27</v>
      </c>
      <c r="F369" t="s">
        <v>28</v>
      </c>
      <c r="G369" t="s">
        <v>70</v>
      </c>
      <c r="H369" t="s">
        <v>90</v>
      </c>
      <c r="I369">
        <v>1</v>
      </c>
      <c r="J369">
        <v>2.67</v>
      </c>
      <c r="K369">
        <v>2.67</v>
      </c>
    </row>
    <row r="370" spans="1:11" x14ac:dyDescent="0.3">
      <c r="A370">
        <v>1369</v>
      </c>
      <c r="B370" s="3" t="s">
        <v>55</v>
      </c>
      <c r="C370" s="1" t="s">
        <v>200</v>
      </c>
      <c r="D370" t="s">
        <v>38</v>
      </c>
      <c r="E370" t="s">
        <v>20</v>
      </c>
      <c r="F370" t="s">
        <v>21</v>
      </c>
      <c r="G370" t="s">
        <v>70</v>
      </c>
      <c r="H370" t="s">
        <v>71</v>
      </c>
      <c r="I370">
        <v>5</v>
      </c>
      <c r="J370">
        <v>3.77</v>
      </c>
      <c r="K370">
        <v>18.850000000000001</v>
      </c>
    </row>
    <row r="371" spans="1:11" x14ac:dyDescent="0.3">
      <c r="A371">
        <v>1370</v>
      </c>
      <c r="B371" s="3" t="s">
        <v>104</v>
      </c>
      <c r="C371" s="1" t="s">
        <v>500</v>
      </c>
      <c r="D371" t="s">
        <v>42</v>
      </c>
      <c r="E371" t="s">
        <v>39</v>
      </c>
      <c r="F371" t="s">
        <v>21</v>
      </c>
      <c r="G371" t="s">
        <v>29</v>
      </c>
      <c r="H371" t="s">
        <v>57</v>
      </c>
      <c r="I371">
        <v>3</v>
      </c>
      <c r="J371">
        <v>4.12</v>
      </c>
      <c r="K371">
        <v>12.36</v>
      </c>
    </row>
    <row r="372" spans="1:11" x14ac:dyDescent="0.3">
      <c r="A372">
        <v>1371</v>
      </c>
      <c r="B372" s="3" t="s">
        <v>139</v>
      </c>
      <c r="C372" s="1" t="s">
        <v>501</v>
      </c>
      <c r="D372" t="s">
        <v>38</v>
      </c>
      <c r="E372" t="s">
        <v>20</v>
      </c>
      <c r="F372" t="s">
        <v>21</v>
      </c>
      <c r="G372" t="s">
        <v>29</v>
      </c>
      <c r="H372" t="s">
        <v>52</v>
      </c>
      <c r="I372">
        <v>3</v>
      </c>
      <c r="J372">
        <v>5.14</v>
      </c>
      <c r="K372">
        <v>15.42</v>
      </c>
    </row>
    <row r="373" spans="1:11" x14ac:dyDescent="0.3">
      <c r="A373">
        <v>1372</v>
      </c>
      <c r="B373" s="3" t="s">
        <v>502</v>
      </c>
      <c r="C373" s="1" t="s">
        <v>503</v>
      </c>
      <c r="D373" t="s">
        <v>26</v>
      </c>
      <c r="E373" t="s">
        <v>51</v>
      </c>
      <c r="F373" t="s">
        <v>28</v>
      </c>
      <c r="G373" t="s">
        <v>70</v>
      </c>
      <c r="H373" t="s">
        <v>95</v>
      </c>
      <c r="I373">
        <v>3</v>
      </c>
      <c r="J373">
        <v>2.19</v>
      </c>
      <c r="K373">
        <v>6.57</v>
      </c>
    </row>
    <row r="374" spans="1:11" x14ac:dyDescent="0.3">
      <c r="A374">
        <v>1373</v>
      </c>
      <c r="B374" s="3" t="s">
        <v>445</v>
      </c>
      <c r="C374" s="1" t="s">
        <v>159</v>
      </c>
      <c r="D374" t="s">
        <v>13</v>
      </c>
      <c r="E374" t="s">
        <v>51</v>
      </c>
      <c r="F374" t="s">
        <v>15</v>
      </c>
      <c r="G374" t="s">
        <v>70</v>
      </c>
      <c r="H374" t="s">
        <v>90</v>
      </c>
      <c r="I374">
        <v>4</v>
      </c>
      <c r="J374">
        <v>5.25</v>
      </c>
      <c r="K374">
        <v>21</v>
      </c>
    </row>
    <row r="375" spans="1:11" x14ac:dyDescent="0.3">
      <c r="A375">
        <v>1374</v>
      </c>
      <c r="B375" s="3" t="s">
        <v>243</v>
      </c>
      <c r="C375" s="1" t="s">
        <v>504</v>
      </c>
      <c r="D375" t="s">
        <v>48</v>
      </c>
      <c r="E375" t="s">
        <v>39</v>
      </c>
      <c r="F375" t="s">
        <v>21</v>
      </c>
      <c r="G375" t="s">
        <v>22</v>
      </c>
      <c r="H375" t="s">
        <v>23</v>
      </c>
      <c r="I375">
        <v>5</v>
      </c>
      <c r="J375">
        <v>5.25</v>
      </c>
      <c r="K375">
        <v>26.25</v>
      </c>
    </row>
    <row r="376" spans="1:11" x14ac:dyDescent="0.3">
      <c r="A376">
        <v>1375</v>
      </c>
      <c r="B376" s="3" t="s">
        <v>505</v>
      </c>
      <c r="C376" s="1" t="s">
        <v>391</v>
      </c>
      <c r="D376" t="s">
        <v>42</v>
      </c>
      <c r="E376" t="s">
        <v>39</v>
      </c>
      <c r="F376" t="s">
        <v>28</v>
      </c>
      <c r="G376" t="s">
        <v>70</v>
      </c>
      <c r="H376" t="s">
        <v>95</v>
      </c>
      <c r="I376">
        <v>2</v>
      </c>
      <c r="J376">
        <v>3.03</v>
      </c>
      <c r="K376">
        <v>6.06</v>
      </c>
    </row>
    <row r="377" spans="1:11" x14ac:dyDescent="0.3">
      <c r="A377">
        <v>1376</v>
      </c>
      <c r="B377" s="3" t="s">
        <v>151</v>
      </c>
      <c r="C377" s="1" t="s">
        <v>506</v>
      </c>
      <c r="D377" t="s">
        <v>13</v>
      </c>
      <c r="E377" t="s">
        <v>34</v>
      </c>
      <c r="F377" t="s">
        <v>15</v>
      </c>
      <c r="G377" t="s">
        <v>22</v>
      </c>
      <c r="H377" t="s">
        <v>23</v>
      </c>
      <c r="I377">
        <v>3</v>
      </c>
      <c r="J377">
        <v>2.2599999999999998</v>
      </c>
      <c r="K377">
        <v>6.78</v>
      </c>
    </row>
    <row r="378" spans="1:11" x14ac:dyDescent="0.3">
      <c r="A378">
        <v>1377</v>
      </c>
      <c r="B378" s="3" t="s">
        <v>378</v>
      </c>
      <c r="C378" s="1" t="s">
        <v>497</v>
      </c>
      <c r="D378" t="s">
        <v>48</v>
      </c>
      <c r="E378" t="s">
        <v>34</v>
      </c>
      <c r="F378" t="s">
        <v>21</v>
      </c>
      <c r="G378" t="s">
        <v>16</v>
      </c>
      <c r="H378" t="s">
        <v>35</v>
      </c>
      <c r="I378">
        <v>4</v>
      </c>
      <c r="J378">
        <v>2.2599999999999998</v>
      </c>
      <c r="K378">
        <v>9.0399999999999991</v>
      </c>
    </row>
    <row r="379" spans="1:11" x14ac:dyDescent="0.3">
      <c r="A379">
        <v>1378</v>
      </c>
      <c r="B379" s="3" t="s">
        <v>206</v>
      </c>
      <c r="C379" s="1" t="s">
        <v>507</v>
      </c>
      <c r="D379" t="s">
        <v>33</v>
      </c>
      <c r="E379" t="s">
        <v>27</v>
      </c>
      <c r="F379" t="s">
        <v>28</v>
      </c>
      <c r="G379" t="s">
        <v>22</v>
      </c>
      <c r="H379" t="s">
        <v>23</v>
      </c>
      <c r="I379">
        <v>5</v>
      </c>
      <c r="J379">
        <v>5.2</v>
      </c>
      <c r="K379">
        <v>26</v>
      </c>
    </row>
    <row r="380" spans="1:11" x14ac:dyDescent="0.3">
      <c r="A380">
        <v>1379</v>
      </c>
      <c r="B380" s="3" t="s">
        <v>135</v>
      </c>
      <c r="C380" s="1" t="s">
        <v>131</v>
      </c>
      <c r="D380" t="s">
        <v>26</v>
      </c>
      <c r="E380" t="s">
        <v>79</v>
      </c>
      <c r="F380" t="s">
        <v>28</v>
      </c>
      <c r="G380" t="s">
        <v>70</v>
      </c>
      <c r="H380" t="s">
        <v>71</v>
      </c>
      <c r="I380">
        <v>3</v>
      </c>
      <c r="J380">
        <v>5.65</v>
      </c>
      <c r="K380">
        <v>16.95</v>
      </c>
    </row>
    <row r="381" spans="1:11" x14ac:dyDescent="0.3">
      <c r="A381">
        <v>1380</v>
      </c>
      <c r="B381" s="3" t="s">
        <v>445</v>
      </c>
      <c r="C381" s="1" t="s">
        <v>281</v>
      </c>
      <c r="D381" t="s">
        <v>13</v>
      </c>
      <c r="E381" t="s">
        <v>51</v>
      </c>
      <c r="F381" t="s">
        <v>21</v>
      </c>
      <c r="G381" t="s">
        <v>22</v>
      </c>
      <c r="H381" t="s">
        <v>23</v>
      </c>
      <c r="I381">
        <v>5</v>
      </c>
      <c r="J381">
        <v>5.99</v>
      </c>
      <c r="K381">
        <v>29.95</v>
      </c>
    </row>
    <row r="382" spans="1:11" x14ac:dyDescent="0.3">
      <c r="A382">
        <v>1381</v>
      </c>
      <c r="B382" s="3" t="s">
        <v>141</v>
      </c>
      <c r="C382" s="1" t="s">
        <v>508</v>
      </c>
      <c r="D382" t="s">
        <v>48</v>
      </c>
      <c r="E382" t="s">
        <v>14</v>
      </c>
      <c r="F382" t="s">
        <v>15</v>
      </c>
      <c r="G382" t="s">
        <v>22</v>
      </c>
      <c r="H382" t="s">
        <v>23</v>
      </c>
      <c r="I382">
        <v>2</v>
      </c>
      <c r="J382">
        <v>4.6100000000000003</v>
      </c>
      <c r="K382">
        <v>9.2200000000000006</v>
      </c>
    </row>
    <row r="383" spans="1:11" x14ac:dyDescent="0.3">
      <c r="A383">
        <v>1382</v>
      </c>
      <c r="B383" s="3" t="s">
        <v>197</v>
      </c>
      <c r="C383" s="1" t="s">
        <v>509</v>
      </c>
      <c r="D383" t="s">
        <v>33</v>
      </c>
      <c r="E383" t="s">
        <v>79</v>
      </c>
      <c r="F383" t="s">
        <v>21</v>
      </c>
      <c r="G383" t="s">
        <v>16</v>
      </c>
      <c r="H383" t="s">
        <v>35</v>
      </c>
      <c r="I383">
        <v>3</v>
      </c>
      <c r="J383">
        <v>4.8600000000000003</v>
      </c>
      <c r="K383">
        <v>14.58</v>
      </c>
    </row>
    <row r="384" spans="1:11" x14ac:dyDescent="0.3">
      <c r="A384">
        <v>1383</v>
      </c>
      <c r="B384" s="3" t="s">
        <v>126</v>
      </c>
      <c r="C384" s="1" t="s">
        <v>510</v>
      </c>
      <c r="D384" t="s">
        <v>26</v>
      </c>
      <c r="E384" t="s">
        <v>14</v>
      </c>
      <c r="F384" t="s">
        <v>21</v>
      </c>
      <c r="G384" t="s">
        <v>29</v>
      </c>
      <c r="H384" t="s">
        <v>52</v>
      </c>
      <c r="I384">
        <v>4</v>
      </c>
      <c r="J384">
        <v>2.82</v>
      </c>
      <c r="K384">
        <v>11.28</v>
      </c>
    </row>
    <row r="385" spans="1:11" x14ac:dyDescent="0.3">
      <c r="A385">
        <v>1384</v>
      </c>
      <c r="B385" s="3" t="s">
        <v>268</v>
      </c>
      <c r="C385" s="1" t="s">
        <v>511</v>
      </c>
      <c r="D385" t="s">
        <v>33</v>
      </c>
      <c r="E385" t="s">
        <v>51</v>
      </c>
      <c r="F385" t="s">
        <v>15</v>
      </c>
      <c r="G385" t="s">
        <v>29</v>
      </c>
      <c r="H385" t="s">
        <v>43</v>
      </c>
      <c r="I385">
        <v>3</v>
      </c>
      <c r="J385">
        <v>3.51</v>
      </c>
      <c r="K385">
        <v>10.53</v>
      </c>
    </row>
    <row r="386" spans="1:11" x14ac:dyDescent="0.3">
      <c r="A386">
        <v>1385</v>
      </c>
      <c r="B386" s="3" t="s">
        <v>256</v>
      </c>
      <c r="C386" s="1" t="s">
        <v>394</v>
      </c>
      <c r="D386" t="s">
        <v>33</v>
      </c>
      <c r="E386" t="s">
        <v>27</v>
      </c>
      <c r="F386" t="s">
        <v>15</v>
      </c>
      <c r="G386" t="s">
        <v>70</v>
      </c>
      <c r="H386" t="s">
        <v>95</v>
      </c>
      <c r="I386">
        <v>2</v>
      </c>
      <c r="J386">
        <v>4.51</v>
      </c>
      <c r="K386">
        <v>9.02</v>
      </c>
    </row>
    <row r="387" spans="1:11" x14ac:dyDescent="0.3">
      <c r="A387">
        <v>1386</v>
      </c>
      <c r="B387" s="3" t="s">
        <v>181</v>
      </c>
      <c r="C387" s="1" t="s">
        <v>174</v>
      </c>
      <c r="D387" t="s">
        <v>26</v>
      </c>
      <c r="E387" t="s">
        <v>20</v>
      </c>
      <c r="F387" t="s">
        <v>28</v>
      </c>
      <c r="G387" t="s">
        <v>16</v>
      </c>
      <c r="H387" t="s">
        <v>17</v>
      </c>
      <c r="I387">
        <v>2</v>
      </c>
      <c r="J387">
        <v>2.77</v>
      </c>
      <c r="K387">
        <v>5.54</v>
      </c>
    </row>
    <row r="388" spans="1:11" x14ac:dyDescent="0.3">
      <c r="A388">
        <v>1387</v>
      </c>
      <c r="B388" s="3" t="s">
        <v>66</v>
      </c>
      <c r="C388" s="1" t="s">
        <v>388</v>
      </c>
      <c r="D388" t="s">
        <v>42</v>
      </c>
      <c r="E388" t="s">
        <v>39</v>
      </c>
      <c r="F388" t="s">
        <v>15</v>
      </c>
      <c r="G388" t="s">
        <v>70</v>
      </c>
      <c r="H388" t="s">
        <v>71</v>
      </c>
      <c r="I388">
        <v>3</v>
      </c>
      <c r="J388">
        <v>5.44</v>
      </c>
      <c r="K388">
        <v>16.32</v>
      </c>
    </row>
    <row r="389" spans="1:11" x14ac:dyDescent="0.3">
      <c r="A389">
        <v>1388</v>
      </c>
      <c r="B389" s="3" t="s">
        <v>203</v>
      </c>
      <c r="C389" s="1" t="s">
        <v>512</v>
      </c>
      <c r="D389" t="s">
        <v>42</v>
      </c>
      <c r="E389" t="s">
        <v>51</v>
      </c>
      <c r="F389" t="s">
        <v>21</v>
      </c>
      <c r="G389" t="s">
        <v>16</v>
      </c>
      <c r="H389" t="s">
        <v>76</v>
      </c>
      <c r="I389">
        <v>3</v>
      </c>
      <c r="J389">
        <v>5.63</v>
      </c>
      <c r="K389">
        <v>16.89</v>
      </c>
    </row>
    <row r="390" spans="1:11" x14ac:dyDescent="0.3">
      <c r="A390">
        <v>1389</v>
      </c>
      <c r="B390" s="3" t="s">
        <v>300</v>
      </c>
      <c r="C390" s="1" t="s">
        <v>421</v>
      </c>
      <c r="D390" t="s">
        <v>13</v>
      </c>
      <c r="E390" t="s">
        <v>79</v>
      </c>
      <c r="F390" t="s">
        <v>28</v>
      </c>
      <c r="G390" t="s">
        <v>16</v>
      </c>
      <c r="H390" t="s">
        <v>35</v>
      </c>
      <c r="I390">
        <v>4</v>
      </c>
      <c r="J390">
        <v>3.18</v>
      </c>
      <c r="K390">
        <v>12.72</v>
      </c>
    </row>
    <row r="391" spans="1:11" x14ac:dyDescent="0.3">
      <c r="A391">
        <v>1390</v>
      </c>
      <c r="B391" s="3" t="s">
        <v>124</v>
      </c>
      <c r="C391" s="1" t="s">
        <v>513</v>
      </c>
      <c r="D391" t="s">
        <v>48</v>
      </c>
      <c r="E391" t="s">
        <v>14</v>
      </c>
      <c r="F391" t="s">
        <v>15</v>
      </c>
      <c r="G391" t="s">
        <v>70</v>
      </c>
      <c r="H391" t="s">
        <v>95</v>
      </c>
      <c r="I391">
        <v>3</v>
      </c>
      <c r="J391">
        <v>4.75</v>
      </c>
      <c r="K391">
        <v>14.25</v>
      </c>
    </row>
    <row r="392" spans="1:11" x14ac:dyDescent="0.3">
      <c r="A392">
        <v>1391</v>
      </c>
      <c r="B392" s="3" t="s">
        <v>248</v>
      </c>
      <c r="C392" s="1" t="s">
        <v>426</v>
      </c>
      <c r="D392" t="s">
        <v>48</v>
      </c>
      <c r="E392" t="s">
        <v>79</v>
      </c>
      <c r="F392" t="s">
        <v>15</v>
      </c>
      <c r="G392" t="s">
        <v>16</v>
      </c>
      <c r="H392" t="s">
        <v>35</v>
      </c>
      <c r="I392">
        <v>1</v>
      </c>
      <c r="J392">
        <v>5.4</v>
      </c>
      <c r="K392">
        <v>5.4</v>
      </c>
    </row>
    <row r="393" spans="1:11" x14ac:dyDescent="0.3">
      <c r="A393">
        <v>1392</v>
      </c>
      <c r="B393" s="3" t="s">
        <v>358</v>
      </c>
      <c r="C393" s="1" t="s">
        <v>514</v>
      </c>
      <c r="D393" t="s">
        <v>38</v>
      </c>
      <c r="E393" t="s">
        <v>39</v>
      </c>
      <c r="F393" t="s">
        <v>15</v>
      </c>
      <c r="G393" t="s">
        <v>29</v>
      </c>
      <c r="H393" t="s">
        <v>52</v>
      </c>
      <c r="I393">
        <v>1</v>
      </c>
      <c r="J393">
        <v>4.97</v>
      </c>
      <c r="K393">
        <v>4.97</v>
      </c>
    </row>
    <row r="394" spans="1:11" x14ac:dyDescent="0.3">
      <c r="A394">
        <v>1393</v>
      </c>
      <c r="B394" s="3" t="s">
        <v>203</v>
      </c>
      <c r="C394" s="1" t="s">
        <v>515</v>
      </c>
      <c r="D394" t="s">
        <v>42</v>
      </c>
      <c r="E394" t="s">
        <v>51</v>
      </c>
      <c r="F394" t="s">
        <v>15</v>
      </c>
      <c r="G394" t="s">
        <v>16</v>
      </c>
      <c r="H394" t="s">
        <v>35</v>
      </c>
      <c r="I394">
        <v>1</v>
      </c>
      <c r="J394">
        <v>3.15</v>
      </c>
      <c r="K394">
        <v>3.15</v>
      </c>
    </row>
    <row r="395" spans="1:11" x14ac:dyDescent="0.3">
      <c r="A395">
        <v>1394</v>
      </c>
      <c r="B395" s="3" t="s">
        <v>516</v>
      </c>
      <c r="C395" s="1" t="s">
        <v>437</v>
      </c>
      <c r="D395" t="s">
        <v>13</v>
      </c>
      <c r="E395" t="s">
        <v>39</v>
      </c>
      <c r="F395" t="s">
        <v>21</v>
      </c>
      <c r="G395" t="s">
        <v>70</v>
      </c>
      <c r="H395" t="s">
        <v>95</v>
      </c>
      <c r="I395">
        <v>2</v>
      </c>
      <c r="J395">
        <v>4.67</v>
      </c>
      <c r="K395">
        <v>9.34</v>
      </c>
    </row>
    <row r="396" spans="1:11" x14ac:dyDescent="0.3">
      <c r="A396">
        <v>1395</v>
      </c>
      <c r="B396" s="3" t="s">
        <v>422</v>
      </c>
      <c r="C396" s="1" t="s">
        <v>433</v>
      </c>
      <c r="D396" t="s">
        <v>13</v>
      </c>
      <c r="E396" t="s">
        <v>51</v>
      </c>
      <c r="F396" t="s">
        <v>15</v>
      </c>
      <c r="G396" t="s">
        <v>29</v>
      </c>
      <c r="H396" t="s">
        <v>30</v>
      </c>
      <c r="I396">
        <v>3</v>
      </c>
      <c r="J396">
        <v>4.4000000000000004</v>
      </c>
      <c r="K396">
        <v>13.2</v>
      </c>
    </row>
    <row r="397" spans="1:11" x14ac:dyDescent="0.3">
      <c r="A397">
        <v>1396</v>
      </c>
      <c r="B397" s="3" t="s">
        <v>210</v>
      </c>
      <c r="C397" s="1" t="s">
        <v>431</v>
      </c>
      <c r="D397" t="s">
        <v>38</v>
      </c>
      <c r="E397" t="s">
        <v>34</v>
      </c>
      <c r="F397" t="s">
        <v>15</v>
      </c>
      <c r="G397" t="s">
        <v>22</v>
      </c>
      <c r="H397" t="s">
        <v>23</v>
      </c>
      <c r="I397">
        <v>5</v>
      </c>
      <c r="J397">
        <v>4.3600000000000003</v>
      </c>
      <c r="K397">
        <v>21.8</v>
      </c>
    </row>
    <row r="398" spans="1:11" x14ac:dyDescent="0.3">
      <c r="A398">
        <v>1397</v>
      </c>
      <c r="B398" s="3" t="s">
        <v>211</v>
      </c>
      <c r="C398" s="1" t="s">
        <v>517</v>
      </c>
      <c r="D398" t="s">
        <v>42</v>
      </c>
      <c r="E398" t="s">
        <v>27</v>
      </c>
      <c r="F398" t="s">
        <v>28</v>
      </c>
      <c r="G398" t="s">
        <v>70</v>
      </c>
      <c r="H398" t="s">
        <v>71</v>
      </c>
      <c r="I398">
        <v>2</v>
      </c>
      <c r="J398">
        <v>4.72</v>
      </c>
      <c r="K398">
        <v>9.44</v>
      </c>
    </row>
    <row r="399" spans="1:11" x14ac:dyDescent="0.3">
      <c r="A399">
        <v>1398</v>
      </c>
      <c r="B399" s="3" t="s">
        <v>213</v>
      </c>
      <c r="C399" s="1" t="s">
        <v>518</v>
      </c>
      <c r="D399" t="s">
        <v>13</v>
      </c>
      <c r="E399" t="s">
        <v>20</v>
      </c>
      <c r="F399" t="s">
        <v>28</v>
      </c>
      <c r="G399" t="s">
        <v>70</v>
      </c>
      <c r="H399" t="s">
        <v>90</v>
      </c>
      <c r="I399">
        <v>2</v>
      </c>
      <c r="J399">
        <v>3.36</v>
      </c>
      <c r="K399">
        <v>6.72</v>
      </c>
    </row>
    <row r="400" spans="1:11" x14ac:dyDescent="0.3">
      <c r="A400">
        <v>1399</v>
      </c>
      <c r="B400" s="3" t="s">
        <v>169</v>
      </c>
      <c r="C400" s="1" t="s">
        <v>519</v>
      </c>
      <c r="D400" t="s">
        <v>48</v>
      </c>
      <c r="E400" t="s">
        <v>20</v>
      </c>
      <c r="F400" t="s">
        <v>28</v>
      </c>
      <c r="G400" t="s">
        <v>29</v>
      </c>
      <c r="H400" t="s">
        <v>43</v>
      </c>
      <c r="I400">
        <v>2</v>
      </c>
      <c r="J400">
        <v>5.0199999999999996</v>
      </c>
      <c r="K400">
        <v>10.039999999999999</v>
      </c>
    </row>
    <row r="401" spans="1:11" x14ac:dyDescent="0.3">
      <c r="A401">
        <v>1400</v>
      </c>
      <c r="B401" s="3" t="s">
        <v>488</v>
      </c>
      <c r="C401" s="1" t="s">
        <v>146</v>
      </c>
      <c r="D401" t="s">
        <v>33</v>
      </c>
      <c r="E401" t="s">
        <v>14</v>
      </c>
      <c r="F401" t="s">
        <v>21</v>
      </c>
      <c r="G401" t="s">
        <v>70</v>
      </c>
      <c r="H401" t="s">
        <v>71</v>
      </c>
      <c r="I401">
        <v>1</v>
      </c>
      <c r="J401">
        <v>4.8499999999999996</v>
      </c>
      <c r="K401">
        <v>4.8499999999999996</v>
      </c>
    </row>
    <row r="402" spans="1:11" x14ac:dyDescent="0.3">
      <c r="A402">
        <v>1401</v>
      </c>
      <c r="B402" s="3" t="s">
        <v>234</v>
      </c>
      <c r="C402" s="1" t="s">
        <v>32</v>
      </c>
      <c r="D402" t="s">
        <v>33</v>
      </c>
      <c r="E402" t="s">
        <v>51</v>
      </c>
      <c r="F402" t="s">
        <v>21</v>
      </c>
      <c r="G402" t="s">
        <v>16</v>
      </c>
      <c r="H402" t="s">
        <v>76</v>
      </c>
      <c r="I402">
        <v>1</v>
      </c>
      <c r="J402">
        <v>4.82</v>
      </c>
      <c r="K402">
        <v>4.82</v>
      </c>
    </row>
    <row r="403" spans="1:11" x14ac:dyDescent="0.3">
      <c r="A403">
        <v>1402</v>
      </c>
      <c r="B403" s="3" t="s">
        <v>297</v>
      </c>
      <c r="C403" s="1" t="s">
        <v>228</v>
      </c>
      <c r="D403" t="s">
        <v>42</v>
      </c>
      <c r="E403" t="s">
        <v>14</v>
      </c>
      <c r="F403" t="s">
        <v>21</v>
      </c>
      <c r="G403" t="s">
        <v>29</v>
      </c>
      <c r="H403" t="s">
        <v>52</v>
      </c>
      <c r="I403">
        <v>3</v>
      </c>
      <c r="J403">
        <v>5.98</v>
      </c>
      <c r="K403">
        <v>17.940000000000001</v>
      </c>
    </row>
    <row r="404" spans="1:11" x14ac:dyDescent="0.3">
      <c r="A404">
        <v>1403</v>
      </c>
      <c r="B404" s="3" t="s">
        <v>321</v>
      </c>
      <c r="C404" s="1" t="s">
        <v>520</v>
      </c>
      <c r="D404" t="s">
        <v>33</v>
      </c>
      <c r="E404" t="s">
        <v>20</v>
      </c>
      <c r="F404" t="s">
        <v>15</v>
      </c>
      <c r="G404" t="s">
        <v>29</v>
      </c>
      <c r="H404" t="s">
        <v>52</v>
      </c>
      <c r="I404">
        <v>2</v>
      </c>
      <c r="J404">
        <v>5.23</v>
      </c>
      <c r="K404">
        <v>10.46</v>
      </c>
    </row>
    <row r="405" spans="1:11" x14ac:dyDescent="0.3">
      <c r="A405">
        <v>1404</v>
      </c>
      <c r="B405" s="3" t="s">
        <v>297</v>
      </c>
      <c r="C405" s="1" t="s">
        <v>521</v>
      </c>
      <c r="D405" t="s">
        <v>42</v>
      </c>
      <c r="E405" t="s">
        <v>14</v>
      </c>
      <c r="F405" t="s">
        <v>21</v>
      </c>
      <c r="G405" t="s">
        <v>29</v>
      </c>
      <c r="H405" t="s">
        <v>52</v>
      </c>
      <c r="I405">
        <v>5</v>
      </c>
      <c r="J405">
        <v>2.2799999999999998</v>
      </c>
      <c r="K405">
        <v>11.4</v>
      </c>
    </row>
    <row r="406" spans="1:11" x14ac:dyDescent="0.3">
      <c r="A406">
        <v>1405</v>
      </c>
      <c r="B406" s="3" t="s">
        <v>84</v>
      </c>
      <c r="C406" s="1" t="s">
        <v>522</v>
      </c>
      <c r="D406" t="s">
        <v>26</v>
      </c>
      <c r="E406" t="s">
        <v>79</v>
      </c>
      <c r="F406" t="s">
        <v>28</v>
      </c>
      <c r="G406" t="s">
        <v>29</v>
      </c>
      <c r="H406" t="s">
        <v>52</v>
      </c>
      <c r="I406">
        <v>5</v>
      </c>
      <c r="J406">
        <v>2.63</v>
      </c>
      <c r="K406">
        <v>13.15</v>
      </c>
    </row>
    <row r="407" spans="1:11" x14ac:dyDescent="0.3">
      <c r="A407">
        <v>1406</v>
      </c>
      <c r="B407" s="3" t="s">
        <v>100</v>
      </c>
      <c r="C407" s="1" t="s">
        <v>523</v>
      </c>
      <c r="D407" t="s">
        <v>48</v>
      </c>
      <c r="E407" t="s">
        <v>51</v>
      </c>
      <c r="F407" t="s">
        <v>28</v>
      </c>
      <c r="G407" t="s">
        <v>29</v>
      </c>
      <c r="H407" t="s">
        <v>52</v>
      </c>
      <c r="I407">
        <v>3</v>
      </c>
      <c r="J407">
        <v>3.67</v>
      </c>
      <c r="K407">
        <v>11.01</v>
      </c>
    </row>
    <row r="408" spans="1:11" x14ac:dyDescent="0.3">
      <c r="A408">
        <v>1407</v>
      </c>
      <c r="B408" s="3" t="s">
        <v>122</v>
      </c>
      <c r="C408" s="1" t="s">
        <v>524</v>
      </c>
      <c r="D408" t="s">
        <v>33</v>
      </c>
      <c r="E408" t="s">
        <v>51</v>
      </c>
      <c r="F408" t="s">
        <v>15</v>
      </c>
      <c r="G408" t="s">
        <v>16</v>
      </c>
      <c r="H408" t="s">
        <v>35</v>
      </c>
      <c r="I408">
        <v>5</v>
      </c>
      <c r="J408">
        <v>2.2799999999999998</v>
      </c>
      <c r="K408">
        <v>11.4</v>
      </c>
    </row>
    <row r="409" spans="1:11" x14ac:dyDescent="0.3">
      <c r="A409">
        <v>1408</v>
      </c>
      <c r="B409" s="3" t="s">
        <v>525</v>
      </c>
      <c r="C409" s="1" t="s">
        <v>381</v>
      </c>
      <c r="D409" t="s">
        <v>33</v>
      </c>
      <c r="E409" t="s">
        <v>34</v>
      </c>
      <c r="F409" t="s">
        <v>28</v>
      </c>
      <c r="G409" t="s">
        <v>29</v>
      </c>
      <c r="H409" t="s">
        <v>57</v>
      </c>
      <c r="I409">
        <v>1</v>
      </c>
      <c r="J409">
        <v>2.66</v>
      </c>
      <c r="K409">
        <v>2.66</v>
      </c>
    </row>
    <row r="410" spans="1:11" x14ac:dyDescent="0.3">
      <c r="A410">
        <v>1409</v>
      </c>
      <c r="B410" s="3" t="s">
        <v>499</v>
      </c>
      <c r="C410" s="1" t="s">
        <v>526</v>
      </c>
      <c r="D410" t="s">
        <v>48</v>
      </c>
      <c r="E410" t="s">
        <v>27</v>
      </c>
      <c r="F410" t="s">
        <v>15</v>
      </c>
      <c r="G410" t="s">
        <v>29</v>
      </c>
      <c r="H410" t="s">
        <v>52</v>
      </c>
      <c r="I410">
        <v>1</v>
      </c>
      <c r="J410">
        <v>3.05</v>
      </c>
      <c r="K410">
        <v>3.05</v>
      </c>
    </row>
    <row r="411" spans="1:11" x14ac:dyDescent="0.3">
      <c r="A411">
        <v>1410</v>
      </c>
      <c r="B411" s="3" t="s">
        <v>197</v>
      </c>
      <c r="C411" s="1" t="s">
        <v>527</v>
      </c>
      <c r="D411" t="s">
        <v>33</v>
      </c>
      <c r="E411" t="s">
        <v>79</v>
      </c>
      <c r="F411" t="s">
        <v>21</v>
      </c>
      <c r="G411" t="s">
        <v>16</v>
      </c>
      <c r="H411" t="s">
        <v>76</v>
      </c>
      <c r="I411">
        <v>4</v>
      </c>
      <c r="J411">
        <v>4.7</v>
      </c>
      <c r="K411">
        <v>18.8</v>
      </c>
    </row>
    <row r="412" spans="1:11" x14ac:dyDescent="0.3">
      <c r="A412">
        <v>1411</v>
      </c>
      <c r="B412" s="3" t="s">
        <v>53</v>
      </c>
      <c r="C412" s="1" t="s">
        <v>450</v>
      </c>
      <c r="D412" t="s">
        <v>38</v>
      </c>
      <c r="E412" t="s">
        <v>14</v>
      </c>
      <c r="F412" t="s">
        <v>15</v>
      </c>
      <c r="G412" t="s">
        <v>29</v>
      </c>
      <c r="H412" t="s">
        <v>43</v>
      </c>
      <c r="I412">
        <v>1</v>
      </c>
      <c r="J412">
        <v>3.19</v>
      </c>
      <c r="K412">
        <v>3.19</v>
      </c>
    </row>
    <row r="413" spans="1:11" x14ac:dyDescent="0.3">
      <c r="A413">
        <v>1412</v>
      </c>
      <c r="B413" s="3" t="s">
        <v>368</v>
      </c>
      <c r="C413" s="1" t="s">
        <v>177</v>
      </c>
      <c r="D413" t="s">
        <v>38</v>
      </c>
      <c r="E413" t="s">
        <v>27</v>
      </c>
      <c r="F413" t="s">
        <v>15</v>
      </c>
      <c r="G413" t="s">
        <v>70</v>
      </c>
      <c r="H413" t="s">
        <v>95</v>
      </c>
      <c r="I413">
        <v>3</v>
      </c>
      <c r="J413">
        <v>2.06</v>
      </c>
      <c r="K413">
        <v>6.18</v>
      </c>
    </row>
    <row r="414" spans="1:11" x14ac:dyDescent="0.3">
      <c r="A414">
        <v>1413</v>
      </c>
      <c r="B414" s="3" t="s">
        <v>384</v>
      </c>
      <c r="C414" s="1" t="s">
        <v>528</v>
      </c>
      <c r="D414" t="s">
        <v>42</v>
      </c>
      <c r="E414" t="s">
        <v>14</v>
      </c>
      <c r="F414" t="s">
        <v>15</v>
      </c>
      <c r="G414" t="s">
        <v>29</v>
      </c>
      <c r="H414" t="s">
        <v>57</v>
      </c>
      <c r="I414">
        <v>5</v>
      </c>
      <c r="J414">
        <v>4.3</v>
      </c>
      <c r="K414">
        <v>21.5</v>
      </c>
    </row>
    <row r="415" spans="1:11" x14ac:dyDescent="0.3">
      <c r="A415">
        <v>1414</v>
      </c>
      <c r="B415" s="3" t="s">
        <v>358</v>
      </c>
      <c r="C415" s="1" t="s">
        <v>498</v>
      </c>
      <c r="D415" t="s">
        <v>38</v>
      </c>
      <c r="E415" t="s">
        <v>39</v>
      </c>
      <c r="F415" t="s">
        <v>21</v>
      </c>
      <c r="G415" t="s">
        <v>29</v>
      </c>
      <c r="H415" t="s">
        <v>43</v>
      </c>
      <c r="I415">
        <v>4</v>
      </c>
      <c r="J415">
        <v>4.68</v>
      </c>
      <c r="K415">
        <v>18.72</v>
      </c>
    </row>
    <row r="416" spans="1:11" x14ac:dyDescent="0.3">
      <c r="A416">
        <v>1415</v>
      </c>
      <c r="B416" s="3" t="s">
        <v>203</v>
      </c>
      <c r="C416" s="1" t="s">
        <v>389</v>
      </c>
      <c r="D416" t="s">
        <v>42</v>
      </c>
      <c r="E416" t="s">
        <v>51</v>
      </c>
      <c r="F416" t="s">
        <v>21</v>
      </c>
      <c r="G416" t="s">
        <v>16</v>
      </c>
      <c r="H416" t="s">
        <v>35</v>
      </c>
      <c r="I416">
        <v>5</v>
      </c>
      <c r="J416">
        <v>4.83</v>
      </c>
      <c r="K416">
        <v>24.15</v>
      </c>
    </row>
    <row r="417" spans="1:11" x14ac:dyDescent="0.3">
      <c r="A417">
        <v>1416</v>
      </c>
      <c r="B417" s="3" t="s">
        <v>199</v>
      </c>
      <c r="C417" s="1" t="s">
        <v>529</v>
      </c>
      <c r="D417" t="s">
        <v>13</v>
      </c>
      <c r="E417" t="s">
        <v>79</v>
      </c>
      <c r="F417" t="s">
        <v>28</v>
      </c>
      <c r="G417" t="s">
        <v>29</v>
      </c>
      <c r="H417" t="s">
        <v>57</v>
      </c>
      <c r="I417">
        <v>2</v>
      </c>
      <c r="J417">
        <v>3.79</v>
      </c>
      <c r="K417">
        <v>7.58</v>
      </c>
    </row>
    <row r="418" spans="1:11" x14ac:dyDescent="0.3">
      <c r="A418">
        <v>1417</v>
      </c>
      <c r="B418" s="3" t="s">
        <v>46</v>
      </c>
      <c r="C418" s="1" t="s">
        <v>529</v>
      </c>
      <c r="D418" t="s">
        <v>48</v>
      </c>
      <c r="E418" t="s">
        <v>27</v>
      </c>
      <c r="F418" t="s">
        <v>28</v>
      </c>
      <c r="G418" t="s">
        <v>70</v>
      </c>
      <c r="H418" t="s">
        <v>71</v>
      </c>
      <c r="I418">
        <v>5</v>
      </c>
      <c r="J418">
        <v>2.12</v>
      </c>
      <c r="K418">
        <v>10.6</v>
      </c>
    </row>
    <row r="419" spans="1:11" x14ac:dyDescent="0.3">
      <c r="A419">
        <v>1418</v>
      </c>
      <c r="B419" s="3" t="s">
        <v>110</v>
      </c>
      <c r="C419" s="1" t="s">
        <v>259</v>
      </c>
      <c r="D419" t="s">
        <v>26</v>
      </c>
      <c r="E419" t="s">
        <v>51</v>
      </c>
      <c r="F419" t="s">
        <v>21</v>
      </c>
      <c r="G419" t="s">
        <v>16</v>
      </c>
      <c r="H419" t="s">
        <v>35</v>
      </c>
      <c r="I419">
        <v>2</v>
      </c>
      <c r="J419">
        <v>5.76</v>
      </c>
      <c r="K419">
        <v>11.52</v>
      </c>
    </row>
    <row r="420" spans="1:11" x14ac:dyDescent="0.3">
      <c r="A420">
        <v>1419</v>
      </c>
      <c r="B420" s="3" t="s">
        <v>213</v>
      </c>
      <c r="C420" s="1" t="s">
        <v>423</v>
      </c>
      <c r="D420" t="s">
        <v>13</v>
      </c>
      <c r="E420" t="s">
        <v>20</v>
      </c>
      <c r="F420" t="s">
        <v>21</v>
      </c>
      <c r="G420" t="s">
        <v>16</v>
      </c>
      <c r="H420" t="s">
        <v>76</v>
      </c>
      <c r="I420">
        <v>1</v>
      </c>
      <c r="J420">
        <v>4.4800000000000004</v>
      </c>
      <c r="K420">
        <v>4.4800000000000004</v>
      </c>
    </row>
    <row r="421" spans="1:11" x14ac:dyDescent="0.3">
      <c r="A421">
        <v>1420</v>
      </c>
      <c r="B421" s="3" t="s">
        <v>310</v>
      </c>
      <c r="C421" s="1" t="s">
        <v>530</v>
      </c>
      <c r="D421" t="s">
        <v>48</v>
      </c>
      <c r="E421" t="s">
        <v>39</v>
      </c>
      <c r="F421" t="s">
        <v>28</v>
      </c>
      <c r="G421" t="s">
        <v>29</v>
      </c>
      <c r="H421" t="s">
        <v>52</v>
      </c>
      <c r="I421">
        <v>5</v>
      </c>
      <c r="J421">
        <v>2.57</v>
      </c>
      <c r="K421">
        <v>12.85</v>
      </c>
    </row>
    <row r="422" spans="1:11" x14ac:dyDescent="0.3">
      <c r="A422">
        <v>1421</v>
      </c>
      <c r="B422" s="3" t="s">
        <v>88</v>
      </c>
      <c r="C422" s="1" t="s">
        <v>531</v>
      </c>
      <c r="D422" t="s">
        <v>42</v>
      </c>
      <c r="E422" t="s">
        <v>39</v>
      </c>
      <c r="F422" t="s">
        <v>21</v>
      </c>
      <c r="G422" t="s">
        <v>22</v>
      </c>
      <c r="H422" t="s">
        <v>23</v>
      </c>
      <c r="I422">
        <v>5</v>
      </c>
      <c r="J422">
        <v>3.63</v>
      </c>
      <c r="K422">
        <v>18.149999999999999</v>
      </c>
    </row>
    <row r="423" spans="1:11" x14ac:dyDescent="0.3">
      <c r="A423">
        <v>1422</v>
      </c>
      <c r="B423" s="3" t="s">
        <v>445</v>
      </c>
      <c r="C423" s="1" t="s">
        <v>532</v>
      </c>
      <c r="D423" t="s">
        <v>13</v>
      </c>
      <c r="E423" t="s">
        <v>51</v>
      </c>
      <c r="F423" t="s">
        <v>21</v>
      </c>
      <c r="G423" t="s">
        <v>22</v>
      </c>
      <c r="H423" t="s">
        <v>23</v>
      </c>
      <c r="I423">
        <v>2</v>
      </c>
      <c r="J423">
        <v>2.42</v>
      </c>
      <c r="K423">
        <v>4.84</v>
      </c>
    </row>
    <row r="424" spans="1:11" x14ac:dyDescent="0.3">
      <c r="A424">
        <v>1423</v>
      </c>
      <c r="B424" s="3" t="s">
        <v>284</v>
      </c>
      <c r="C424" s="1" t="s">
        <v>533</v>
      </c>
      <c r="D424" t="s">
        <v>38</v>
      </c>
      <c r="E424" t="s">
        <v>27</v>
      </c>
      <c r="F424" t="s">
        <v>21</v>
      </c>
      <c r="G424" t="s">
        <v>22</v>
      </c>
      <c r="H424" t="s">
        <v>23</v>
      </c>
      <c r="I424">
        <v>3</v>
      </c>
      <c r="J424">
        <v>5.79</v>
      </c>
      <c r="K424">
        <v>17.37</v>
      </c>
    </row>
    <row r="425" spans="1:11" x14ac:dyDescent="0.3">
      <c r="A425">
        <v>1424</v>
      </c>
      <c r="B425" s="3" t="s">
        <v>499</v>
      </c>
      <c r="C425" s="1" t="s">
        <v>356</v>
      </c>
      <c r="D425" t="s">
        <v>48</v>
      </c>
      <c r="E425" t="s">
        <v>27</v>
      </c>
      <c r="F425" t="s">
        <v>15</v>
      </c>
      <c r="G425" t="s">
        <v>29</v>
      </c>
      <c r="H425" t="s">
        <v>43</v>
      </c>
      <c r="I425">
        <v>5</v>
      </c>
      <c r="J425">
        <v>3.34</v>
      </c>
      <c r="K425">
        <v>16.7</v>
      </c>
    </row>
    <row r="426" spans="1:11" x14ac:dyDescent="0.3">
      <c r="A426">
        <v>1425</v>
      </c>
      <c r="B426" s="3" t="s">
        <v>473</v>
      </c>
      <c r="C426" s="1" t="s">
        <v>534</v>
      </c>
      <c r="D426" t="s">
        <v>33</v>
      </c>
      <c r="E426" t="s">
        <v>27</v>
      </c>
      <c r="F426" t="s">
        <v>28</v>
      </c>
      <c r="G426" t="s">
        <v>70</v>
      </c>
      <c r="H426" t="s">
        <v>71</v>
      </c>
      <c r="I426">
        <v>5</v>
      </c>
      <c r="J426">
        <v>5.78</v>
      </c>
      <c r="K426">
        <v>28.9</v>
      </c>
    </row>
    <row r="427" spans="1:11" x14ac:dyDescent="0.3">
      <c r="A427">
        <v>1426</v>
      </c>
      <c r="B427" s="3" t="s">
        <v>36</v>
      </c>
      <c r="C427" s="1" t="s">
        <v>535</v>
      </c>
      <c r="D427" t="s">
        <v>38</v>
      </c>
      <c r="E427" t="s">
        <v>39</v>
      </c>
      <c r="F427" t="s">
        <v>28</v>
      </c>
      <c r="G427" t="s">
        <v>16</v>
      </c>
      <c r="H427" t="s">
        <v>17</v>
      </c>
      <c r="I427">
        <v>3</v>
      </c>
      <c r="J427">
        <v>2.2400000000000002</v>
      </c>
      <c r="K427">
        <v>6.72</v>
      </c>
    </row>
    <row r="428" spans="1:11" x14ac:dyDescent="0.3">
      <c r="A428">
        <v>1427</v>
      </c>
      <c r="B428" s="3" t="s">
        <v>269</v>
      </c>
      <c r="C428" s="1" t="s">
        <v>536</v>
      </c>
      <c r="D428" t="s">
        <v>26</v>
      </c>
      <c r="E428" t="s">
        <v>79</v>
      </c>
      <c r="F428" t="s">
        <v>21</v>
      </c>
      <c r="G428" t="s">
        <v>16</v>
      </c>
      <c r="H428" t="s">
        <v>17</v>
      </c>
      <c r="I428">
        <v>4</v>
      </c>
      <c r="J428">
        <v>5.97</v>
      </c>
      <c r="K428">
        <v>23.88</v>
      </c>
    </row>
    <row r="429" spans="1:11" x14ac:dyDescent="0.3">
      <c r="A429">
        <v>1428</v>
      </c>
      <c r="B429" s="3" t="s">
        <v>353</v>
      </c>
      <c r="C429" s="1" t="s">
        <v>259</v>
      </c>
      <c r="D429" t="s">
        <v>42</v>
      </c>
      <c r="E429" t="s">
        <v>27</v>
      </c>
      <c r="F429" t="s">
        <v>21</v>
      </c>
      <c r="G429" t="s">
        <v>22</v>
      </c>
      <c r="H429" t="s">
        <v>23</v>
      </c>
      <c r="I429">
        <v>5</v>
      </c>
      <c r="J429">
        <v>2.81</v>
      </c>
      <c r="K429">
        <v>14.05</v>
      </c>
    </row>
    <row r="430" spans="1:11" x14ac:dyDescent="0.3">
      <c r="A430">
        <v>1429</v>
      </c>
      <c r="B430" s="3" t="s">
        <v>190</v>
      </c>
      <c r="C430" s="1" t="s">
        <v>537</v>
      </c>
      <c r="D430" t="s">
        <v>38</v>
      </c>
      <c r="E430" t="s">
        <v>14</v>
      </c>
      <c r="F430" t="s">
        <v>28</v>
      </c>
      <c r="G430" t="s">
        <v>22</v>
      </c>
      <c r="H430" t="s">
        <v>23</v>
      </c>
      <c r="I430">
        <v>4</v>
      </c>
      <c r="J430">
        <v>4.68</v>
      </c>
      <c r="K430">
        <v>18.72</v>
      </c>
    </row>
    <row r="431" spans="1:11" x14ac:dyDescent="0.3">
      <c r="A431">
        <v>1430</v>
      </c>
      <c r="B431" s="3" t="s">
        <v>308</v>
      </c>
      <c r="C431" s="1" t="s">
        <v>538</v>
      </c>
      <c r="D431" t="s">
        <v>42</v>
      </c>
      <c r="E431" t="s">
        <v>27</v>
      </c>
      <c r="F431" t="s">
        <v>21</v>
      </c>
      <c r="G431" t="s">
        <v>29</v>
      </c>
      <c r="H431" t="s">
        <v>30</v>
      </c>
      <c r="I431">
        <v>4</v>
      </c>
      <c r="J431">
        <v>3.25</v>
      </c>
      <c r="K431">
        <v>13</v>
      </c>
    </row>
    <row r="432" spans="1:11" x14ac:dyDescent="0.3">
      <c r="A432">
        <v>1431</v>
      </c>
      <c r="B432" s="3" t="s">
        <v>126</v>
      </c>
      <c r="C432" s="1" t="s">
        <v>539</v>
      </c>
      <c r="D432" t="s">
        <v>26</v>
      </c>
      <c r="E432" t="s">
        <v>14</v>
      </c>
      <c r="F432" t="s">
        <v>28</v>
      </c>
      <c r="G432" t="s">
        <v>16</v>
      </c>
      <c r="H432" t="s">
        <v>76</v>
      </c>
      <c r="I432">
        <v>5</v>
      </c>
      <c r="J432">
        <v>3.64</v>
      </c>
      <c r="K432">
        <v>18.2</v>
      </c>
    </row>
    <row r="433" spans="1:11" x14ac:dyDescent="0.3">
      <c r="A433">
        <v>1432</v>
      </c>
      <c r="B433" s="3" t="s">
        <v>540</v>
      </c>
      <c r="C433" s="1" t="s">
        <v>304</v>
      </c>
      <c r="D433" t="s">
        <v>26</v>
      </c>
      <c r="E433" t="s">
        <v>34</v>
      </c>
      <c r="F433" t="s">
        <v>15</v>
      </c>
      <c r="G433" t="s">
        <v>29</v>
      </c>
      <c r="H433" t="s">
        <v>57</v>
      </c>
      <c r="I433">
        <v>3</v>
      </c>
      <c r="J433">
        <v>4.32</v>
      </c>
      <c r="K433">
        <v>12.96</v>
      </c>
    </row>
    <row r="434" spans="1:11" x14ac:dyDescent="0.3">
      <c r="A434">
        <v>1433</v>
      </c>
      <c r="B434" s="3" t="s">
        <v>84</v>
      </c>
      <c r="C434" s="1" t="s">
        <v>541</v>
      </c>
      <c r="D434" t="s">
        <v>26</v>
      </c>
      <c r="E434" t="s">
        <v>79</v>
      </c>
      <c r="F434" t="s">
        <v>15</v>
      </c>
      <c r="G434" t="s">
        <v>22</v>
      </c>
      <c r="H434" t="s">
        <v>23</v>
      </c>
      <c r="I434">
        <v>1</v>
      </c>
      <c r="J434">
        <v>2.66</v>
      </c>
      <c r="K434">
        <v>2.66</v>
      </c>
    </row>
    <row r="435" spans="1:11" x14ac:dyDescent="0.3">
      <c r="A435">
        <v>1434</v>
      </c>
      <c r="B435" s="3" t="s">
        <v>93</v>
      </c>
      <c r="C435" s="1" t="s">
        <v>542</v>
      </c>
      <c r="D435" t="s">
        <v>13</v>
      </c>
      <c r="E435" t="s">
        <v>39</v>
      </c>
      <c r="F435" t="s">
        <v>28</v>
      </c>
      <c r="G435" t="s">
        <v>29</v>
      </c>
      <c r="H435" t="s">
        <v>52</v>
      </c>
      <c r="I435">
        <v>5</v>
      </c>
      <c r="J435">
        <v>2.78</v>
      </c>
      <c r="K435">
        <v>13.9</v>
      </c>
    </row>
    <row r="436" spans="1:11" x14ac:dyDescent="0.3">
      <c r="A436">
        <v>1435</v>
      </c>
      <c r="B436" s="3" t="s">
        <v>445</v>
      </c>
      <c r="C436" s="1" t="s">
        <v>543</v>
      </c>
      <c r="D436" t="s">
        <v>13</v>
      </c>
      <c r="E436" t="s">
        <v>51</v>
      </c>
      <c r="F436" t="s">
        <v>15</v>
      </c>
      <c r="G436" t="s">
        <v>29</v>
      </c>
      <c r="H436" t="s">
        <v>57</v>
      </c>
      <c r="I436">
        <v>5</v>
      </c>
      <c r="J436">
        <v>4.04</v>
      </c>
      <c r="K436">
        <v>20.2</v>
      </c>
    </row>
    <row r="437" spans="1:11" x14ac:dyDescent="0.3">
      <c r="A437">
        <v>1436</v>
      </c>
      <c r="B437" s="3" t="s">
        <v>375</v>
      </c>
      <c r="C437" s="1" t="s">
        <v>544</v>
      </c>
      <c r="D437" t="s">
        <v>42</v>
      </c>
      <c r="E437" t="s">
        <v>20</v>
      </c>
      <c r="F437" t="s">
        <v>21</v>
      </c>
      <c r="G437" t="s">
        <v>16</v>
      </c>
      <c r="H437" t="s">
        <v>35</v>
      </c>
      <c r="I437">
        <v>1</v>
      </c>
      <c r="J437">
        <v>3.76</v>
      </c>
      <c r="K437">
        <v>3.76</v>
      </c>
    </row>
    <row r="438" spans="1:11" x14ac:dyDescent="0.3">
      <c r="A438">
        <v>1437</v>
      </c>
      <c r="B438" s="3" t="s">
        <v>248</v>
      </c>
      <c r="C438" s="1" t="s">
        <v>121</v>
      </c>
      <c r="D438" t="s">
        <v>48</v>
      </c>
      <c r="E438" t="s">
        <v>79</v>
      </c>
      <c r="F438" t="s">
        <v>15</v>
      </c>
      <c r="G438" t="s">
        <v>29</v>
      </c>
      <c r="H438" t="s">
        <v>43</v>
      </c>
      <c r="I438">
        <v>5</v>
      </c>
      <c r="J438">
        <v>2.17</v>
      </c>
      <c r="K438">
        <v>10.85</v>
      </c>
    </row>
    <row r="439" spans="1:11" x14ac:dyDescent="0.3">
      <c r="A439">
        <v>1438</v>
      </c>
      <c r="B439" s="3" t="s">
        <v>545</v>
      </c>
      <c r="C439" s="1" t="s">
        <v>546</v>
      </c>
      <c r="D439" t="s">
        <v>13</v>
      </c>
      <c r="E439" t="s">
        <v>14</v>
      </c>
      <c r="F439" t="s">
        <v>15</v>
      </c>
      <c r="G439" t="s">
        <v>70</v>
      </c>
      <c r="H439" t="s">
        <v>90</v>
      </c>
      <c r="I439">
        <v>1</v>
      </c>
      <c r="J439">
        <v>5.4</v>
      </c>
      <c r="K439">
        <v>5.4</v>
      </c>
    </row>
    <row r="440" spans="1:11" x14ac:dyDescent="0.3">
      <c r="A440">
        <v>1439</v>
      </c>
      <c r="B440" s="3" t="s">
        <v>321</v>
      </c>
      <c r="C440" s="1" t="s">
        <v>547</v>
      </c>
      <c r="D440" t="s">
        <v>33</v>
      </c>
      <c r="E440" t="s">
        <v>20</v>
      </c>
      <c r="F440" t="s">
        <v>28</v>
      </c>
      <c r="G440" t="s">
        <v>29</v>
      </c>
      <c r="H440" t="s">
        <v>57</v>
      </c>
      <c r="I440">
        <v>1</v>
      </c>
      <c r="J440">
        <v>4.0999999999999996</v>
      </c>
      <c r="K440">
        <v>4.0999999999999996</v>
      </c>
    </row>
    <row r="441" spans="1:11" x14ac:dyDescent="0.3">
      <c r="A441">
        <v>1440</v>
      </c>
      <c r="B441" s="3" t="s">
        <v>192</v>
      </c>
      <c r="C441" s="1" t="s">
        <v>548</v>
      </c>
      <c r="D441" t="s">
        <v>13</v>
      </c>
      <c r="E441" t="s">
        <v>27</v>
      </c>
      <c r="F441" t="s">
        <v>15</v>
      </c>
      <c r="G441" t="s">
        <v>22</v>
      </c>
      <c r="H441" t="s">
        <v>23</v>
      </c>
      <c r="I441">
        <v>1</v>
      </c>
      <c r="J441">
        <v>5.95</v>
      </c>
      <c r="K441">
        <v>5.95</v>
      </c>
    </row>
    <row r="442" spans="1:11" x14ac:dyDescent="0.3">
      <c r="A442">
        <v>1441</v>
      </c>
      <c r="B442" s="3" t="s">
        <v>248</v>
      </c>
      <c r="C442" s="1" t="s">
        <v>549</v>
      </c>
      <c r="D442" t="s">
        <v>48</v>
      </c>
      <c r="E442" t="s">
        <v>79</v>
      </c>
      <c r="F442" t="s">
        <v>28</v>
      </c>
      <c r="G442" t="s">
        <v>29</v>
      </c>
      <c r="H442" t="s">
        <v>30</v>
      </c>
      <c r="I442">
        <v>3</v>
      </c>
      <c r="J442">
        <v>4.33</v>
      </c>
      <c r="K442">
        <v>12.99</v>
      </c>
    </row>
    <row r="443" spans="1:11" x14ac:dyDescent="0.3">
      <c r="A443">
        <v>1442</v>
      </c>
      <c r="B443" s="3" t="s">
        <v>355</v>
      </c>
      <c r="C443" s="1" t="s">
        <v>550</v>
      </c>
      <c r="D443" t="s">
        <v>38</v>
      </c>
      <c r="E443" t="s">
        <v>39</v>
      </c>
      <c r="F443" t="s">
        <v>28</v>
      </c>
      <c r="G443" t="s">
        <v>22</v>
      </c>
      <c r="H443" t="s">
        <v>23</v>
      </c>
      <c r="I443">
        <v>2</v>
      </c>
      <c r="J443">
        <v>5.65</v>
      </c>
      <c r="K443">
        <v>11.3</v>
      </c>
    </row>
    <row r="444" spans="1:11" x14ac:dyDescent="0.3">
      <c r="A444">
        <v>1443</v>
      </c>
      <c r="B444" s="3" t="s">
        <v>224</v>
      </c>
      <c r="C444" s="1" t="s">
        <v>364</v>
      </c>
      <c r="D444" t="s">
        <v>33</v>
      </c>
      <c r="E444" t="s">
        <v>14</v>
      </c>
      <c r="F444" t="s">
        <v>21</v>
      </c>
      <c r="G444" t="s">
        <v>29</v>
      </c>
      <c r="H444" t="s">
        <v>52</v>
      </c>
      <c r="I444">
        <v>2</v>
      </c>
      <c r="J444">
        <v>5.0999999999999996</v>
      </c>
      <c r="K444">
        <v>10.199999999999999</v>
      </c>
    </row>
    <row r="445" spans="1:11" x14ac:dyDescent="0.3">
      <c r="A445">
        <v>1444</v>
      </c>
      <c r="B445" s="3" t="s">
        <v>53</v>
      </c>
      <c r="C445" s="1" t="s">
        <v>520</v>
      </c>
      <c r="D445" t="s">
        <v>38</v>
      </c>
      <c r="E445" t="s">
        <v>14</v>
      </c>
      <c r="F445" t="s">
        <v>15</v>
      </c>
      <c r="G445" t="s">
        <v>70</v>
      </c>
      <c r="H445" t="s">
        <v>71</v>
      </c>
      <c r="I445">
        <v>1</v>
      </c>
      <c r="J445">
        <v>5.96</v>
      </c>
      <c r="K445">
        <v>5.96</v>
      </c>
    </row>
    <row r="446" spans="1:11" x14ac:dyDescent="0.3">
      <c r="A446">
        <v>1445</v>
      </c>
      <c r="B446" s="3" t="s">
        <v>151</v>
      </c>
      <c r="C446" s="1" t="s">
        <v>551</v>
      </c>
      <c r="D446" t="s">
        <v>13</v>
      </c>
      <c r="E446" t="s">
        <v>34</v>
      </c>
      <c r="F446" t="s">
        <v>21</v>
      </c>
      <c r="G446" t="s">
        <v>16</v>
      </c>
      <c r="H446" t="s">
        <v>76</v>
      </c>
      <c r="I446">
        <v>4</v>
      </c>
      <c r="J446">
        <v>3.1</v>
      </c>
      <c r="K446">
        <v>12.4</v>
      </c>
    </row>
    <row r="447" spans="1:11" x14ac:dyDescent="0.3">
      <c r="A447">
        <v>1446</v>
      </c>
      <c r="B447" s="3" t="s">
        <v>422</v>
      </c>
      <c r="C447" s="1" t="s">
        <v>485</v>
      </c>
      <c r="D447" t="s">
        <v>13</v>
      </c>
      <c r="E447" t="s">
        <v>51</v>
      </c>
      <c r="F447" t="s">
        <v>15</v>
      </c>
      <c r="G447" t="s">
        <v>22</v>
      </c>
      <c r="H447" t="s">
        <v>23</v>
      </c>
      <c r="I447">
        <v>3</v>
      </c>
      <c r="J447">
        <v>2.5</v>
      </c>
      <c r="K447">
        <v>7.5</v>
      </c>
    </row>
    <row r="448" spans="1:11" x14ac:dyDescent="0.3">
      <c r="A448">
        <v>1447</v>
      </c>
      <c r="B448" s="3" t="s">
        <v>201</v>
      </c>
      <c r="C448" s="1" t="s">
        <v>552</v>
      </c>
      <c r="D448" t="s">
        <v>48</v>
      </c>
      <c r="E448" t="s">
        <v>14</v>
      </c>
      <c r="F448" t="s">
        <v>21</v>
      </c>
      <c r="G448" t="s">
        <v>70</v>
      </c>
      <c r="H448" t="s">
        <v>90</v>
      </c>
      <c r="I448">
        <v>3</v>
      </c>
      <c r="J448">
        <v>2.12</v>
      </c>
      <c r="K448">
        <v>6.36</v>
      </c>
    </row>
    <row r="449" spans="1:11" x14ac:dyDescent="0.3">
      <c r="A449">
        <v>1448</v>
      </c>
      <c r="B449" s="3" t="s">
        <v>164</v>
      </c>
      <c r="C449" s="1" t="s">
        <v>219</v>
      </c>
      <c r="D449" t="s">
        <v>38</v>
      </c>
      <c r="E449" t="s">
        <v>79</v>
      </c>
      <c r="F449" t="s">
        <v>28</v>
      </c>
      <c r="G449" t="s">
        <v>16</v>
      </c>
      <c r="H449" t="s">
        <v>35</v>
      </c>
      <c r="I449">
        <v>5</v>
      </c>
      <c r="J449">
        <v>5.82</v>
      </c>
      <c r="K449">
        <v>29.1</v>
      </c>
    </row>
    <row r="450" spans="1:11" x14ac:dyDescent="0.3">
      <c r="A450">
        <v>1449</v>
      </c>
      <c r="B450" s="3" t="s">
        <v>132</v>
      </c>
      <c r="C450" s="1" t="s">
        <v>553</v>
      </c>
      <c r="D450" t="s">
        <v>26</v>
      </c>
      <c r="E450" t="s">
        <v>39</v>
      </c>
      <c r="F450" t="s">
        <v>28</v>
      </c>
      <c r="G450" t="s">
        <v>22</v>
      </c>
      <c r="H450" t="s">
        <v>23</v>
      </c>
      <c r="I450">
        <v>4</v>
      </c>
      <c r="J450">
        <v>2.16</v>
      </c>
      <c r="K450">
        <v>8.64</v>
      </c>
    </row>
    <row r="451" spans="1:11" x14ac:dyDescent="0.3">
      <c r="A451">
        <v>1450</v>
      </c>
      <c r="B451" s="3" t="s">
        <v>116</v>
      </c>
      <c r="C451" s="1" t="s">
        <v>214</v>
      </c>
      <c r="D451" t="s">
        <v>26</v>
      </c>
      <c r="E451" t="s">
        <v>27</v>
      </c>
      <c r="F451" t="s">
        <v>21</v>
      </c>
      <c r="G451" t="s">
        <v>29</v>
      </c>
      <c r="H451" t="s">
        <v>52</v>
      </c>
      <c r="I451">
        <v>1</v>
      </c>
      <c r="J451">
        <v>2.79</v>
      </c>
      <c r="K451">
        <v>2.79</v>
      </c>
    </row>
    <row r="452" spans="1:11" x14ac:dyDescent="0.3">
      <c r="A452">
        <v>1451</v>
      </c>
      <c r="B452" s="3" t="s">
        <v>554</v>
      </c>
      <c r="C452" s="1" t="s">
        <v>508</v>
      </c>
      <c r="D452" t="s">
        <v>38</v>
      </c>
      <c r="E452" t="s">
        <v>79</v>
      </c>
      <c r="F452" t="s">
        <v>21</v>
      </c>
      <c r="G452" t="s">
        <v>70</v>
      </c>
      <c r="H452" t="s">
        <v>90</v>
      </c>
      <c r="I452">
        <v>3</v>
      </c>
      <c r="J452">
        <v>5.91</v>
      </c>
      <c r="K452">
        <v>17.73</v>
      </c>
    </row>
    <row r="453" spans="1:11" x14ac:dyDescent="0.3">
      <c r="A453">
        <v>1452</v>
      </c>
      <c r="B453" s="3" t="s">
        <v>243</v>
      </c>
      <c r="C453" s="1" t="s">
        <v>555</v>
      </c>
      <c r="D453" t="s">
        <v>48</v>
      </c>
      <c r="E453" t="s">
        <v>39</v>
      </c>
      <c r="F453" t="s">
        <v>21</v>
      </c>
      <c r="G453" t="s">
        <v>22</v>
      </c>
      <c r="H453" t="s">
        <v>23</v>
      </c>
      <c r="I453">
        <v>5</v>
      </c>
      <c r="J453">
        <v>3.65</v>
      </c>
      <c r="K453">
        <v>18.25</v>
      </c>
    </row>
    <row r="454" spans="1:11" x14ac:dyDescent="0.3">
      <c r="A454">
        <v>1453</v>
      </c>
      <c r="B454" s="3" t="s">
        <v>348</v>
      </c>
      <c r="C454" s="1" t="s">
        <v>307</v>
      </c>
      <c r="D454" t="s">
        <v>13</v>
      </c>
      <c r="E454" t="s">
        <v>14</v>
      </c>
      <c r="F454" t="s">
        <v>28</v>
      </c>
      <c r="G454" t="s">
        <v>16</v>
      </c>
      <c r="H454" t="s">
        <v>17</v>
      </c>
      <c r="I454">
        <v>5</v>
      </c>
      <c r="J454">
        <v>2.7</v>
      </c>
      <c r="K454">
        <v>13.5</v>
      </c>
    </row>
    <row r="455" spans="1:11" x14ac:dyDescent="0.3">
      <c r="A455">
        <v>1454</v>
      </c>
      <c r="B455" s="3" t="s">
        <v>96</v>
      </c>
      <c r="C455" s="1" t="s">
        <v>556</v>
      </c>
      <c r="D455" t="s">
        <v>26</v>
      </c>
      <c r="E455" t="s">
        <v>79</v>
      </c>
      <c r="F455" t="s">
        <v>28</v>
      </c>
      <c r="G455" t="s">
        <v>29</v>
      </c>
      <c r="H455" t="s">
        <v>57</v>
      </c>
      <c r="I455">
        <v>2</v>
      </c>
      <c r="J455">
        <v>2.31</v>
      </c>
      <c r="K455">
        <v>4.62</v>
      </c>
    </row>
    <row r="456" spans="1:11" x14ac:dyDescent="0.3">
      <c r="A456">
        <v>1455</v>
      </c>
      <c r="B456" s="3" t="s">
        <v>557</v>
      </c>
      <c r="C456" s="1" t="s">
        <v>500</v>
      </c>
      <c r="D456" t="s">
        <v>13</v>
      </c>
      <c r="E456" t="s">
        <v>34</v>
      </c>
      <c r="F456" t="s">
        <v>15</v>
      </c>
      <c r="G456" t="s">
        <v>70</v>
      </c>
      <c r="H456" t="s">
        <v>71</v>
      </c>
      <c r="I456">
        <v>3</v>
      </c>
      <c r="J456">
        <v>5.22</v>
      </c>
      <c r="K456">
        <v>15.66</v>
      </c>
    </row>
    <row r="457" spans="1:11" x14ac:dyDescent="0.3">
      <c r="A457">
        <v>1456</v>
      </c>
      <c r="B457" s="3" t="s">
        <v>372</v>
      </c>
      <c r="C457" s="1" t="s">
        <v>558</v>
      </c>
      <c r="D457" t="s">
        <v>42</v>
      </c>
      <c r="E457" t="s">
        <v>34</v>
      </c>
      <c r="F457" t="s">
        <v>21</v>
      </c>
      <c r="G457" t="s">
        <v>29</v>
      </c>
      <c r="H457" t="s">
        <v>30</v>
      </c>
      <c r="I457">
        <v>1</v>
      </c>
      <c r="J457">
        <v>2.36</v>
      </c>
      <c r="K457">
        <v>2.36</v>
      </c>
    </row>
    <row r="458" spans="1:11" x14ac:dyDescent="0.3">
      <c r="A458">
        <v>1457</v>
      </c>
      <c r="B458" s="3" t="s">
        <v>72</v>
      </c>
      <c r="C458" s="1" t="s">
        <v>559</v>
      </c>
      <c r="D458" t="s">
        <v>13</v>
      </c>
      <c r="E458" t="s">
        <v>39</v>
      </c>
      <c r="F458" t="s">
        <v>28</v>
      </c>
      <c r="G458" t="s">
        <v>16</v>
      </c>
      <c r="H458" t="s">
        <v>35</v>
      </c>
      <c r="I458">
        <v>1</v>
      </c>
      <c r="J458">
        <v>2.4500000000000002</v>
      </c>
      <c r="K458">
        <v>2.4500000000000002</v>
      </c>
    </row>
    <row r="459" spans="1:11" x14ac:dyDescent="0.3">
      <c r="A459">
        <v>1458</v>
      </c>
      <c r="B459" s="3" t="s">
        <v>221</v>
      </c>
      <c r="C459" s="1" t="s">
        <v>506</v>
      </c>
      <c r="D459" t="s">
        <v>13</v>
      </c>
      <c r="E459" t="s">
        <v>34</v>
      </c>
      <c r="F459" t="s">
        <v>15</v>
      </c>
      <c r="G459" t="s">
        <v>16</v>
      </c>
      <c r="H459" t="s">
        <v>76</v>
      </c>
      <c r="I459">
        <v>5</v>
      </c>
      <c r="J459">
        <v>4.55</v>
      </c>
      <c r="K459">
        <v>22.75</v>
      </c>
    </row>
    <row r="460" spans="1:11" x14ac:dyDescent="0.3">
      <c r="A460">
        <v>1459</v>
      </c>
      <c r="B460" s="3" t="s">
        <v>560</v>
      </c>
      <c r="C460" s="1" t="s">
        <v>204</v>
      </c>
      <c r="D460" t="s">
        <v>48</v>
      </c>
      <c r="E460" t="s">
        <v>27</v>
      </c>
      <c r="F460" t="s">
        <v>28</v>
      </c>
      <c r="G460" t="s">
        <v>70</v>
      </c>
      <c r="H460" t="s">
        <v>90</v>
      </c>
      <c r="I460">
        <v>2</v>
      </c>
      <c r="J460">
        <v>3.59</v>
      </c>
      <c r="K460">
        <v>7.18</v>
      </c>
    </row>
    <row r="461" spans="1:11" x14ac:dyDescent="0.3">
      <c r="A461">
        <v>1460</v>
      </c>
      <c r="B461" s="3" t="s">
        <v>192</v>
      </c>
      <c r="C461" s="1" t="s">
        <v>497</v>
      </c>
      <c r="D461" t="s">
        <v>13</v>
      </c>
      <c r="E461" t="s">
        <v>27</v>
      </c>
      <c r="F461" t="s">
        <v>21</v>
      </c>
      <c r="G461" t="s">
        <v>16</v>
      </c>
      <c r="H461" t="s">
        <v>76</v>
      </c>
      <c r="I461">
        <v>5</v>
      </c>
      <c r="J461">
        <v>3.65</v>
      </c>
      <c r="K461">
        <v>18.25</v>
      </c>
    </row>
    <row r="462" spans="1:11" x14ac:dyDescent="0.3">
      <c r="A462">
        <v>1461</v>
      </c>
      <c r="B462" s="3" t="s">
        <v>197</v>
      </c>
      <c r="C462" s="1" t="s">
        <v>561</v>
      </c>
      <c r="D462" t="s">
        <v>33</v>
      </c>
      <c r="E462" t="s">
        <v>79</v>
      </c>
      <c r="F462" t="s">
        <v>21</v>
      </c>
      <c r="G462" t="s">
        <v>16</v>
      </c>
      <c r="H462" t="s">
        <v>76</v>
      </c>
      <c r="I462">
        <v>3</v>
      </c>
      <c r="J462">
        <v>2.08</v>
      </c>
      <c r="K462">
        <v>6.24</v>
      </c>
    </row>
    <row r="463" spans="1:11" x14ac:dyDescent="0.3">
      <c r="A463">
        <v>1462</v>
      </c>
      <c r="B463" s="3" t="s">
        <v>464</v>
      </c>
      <c r="C463" s="1" t="s">
        <v>317</v>
      </c>
      <c r="D463" t="s">
        <v>48</v>
      </c>
      <c r="E463" t="s">
        <v>14</v>
      </c>
      <c r="F463" t="s">
        <v>28</v>
      </c>
      <c r="G463" t="s">
        <v>29</v>
      </c>
      <c r="H463" t="s">
        <v>57</v>
      </c>
      <c r="I463">
        <v>5</v>
      </c>
      <c r="J463">
        <v>2.06</v>
      </c>
      <c r="K463">
        <v>10.3</v>
      </c>
    </row>
    <row r="464" spans="1:11" x14ac:dyDescent="0.3">
      <c r="A464">
        <v>1463</v>
      </c>
      <c r="B464" s="3" t="s">
        <v>62</v>
      </c>
      <c r="C464" s="1" t="s">
        <v>513</v>
      </c>
      <c r="D464" t="s">
        <v>33</v>
      </c>
      <c r="E464" t="s">
        <v>39</v>
      </c>
      <c r="F464" t="s">
        <v>28</v>
      </c>
      <c r="G464" t="s">
        <v>70</v>
      </c>
      <c r="H464" t="s">
        <v>95</v>
      </c>
      <c r="I464">
        <v>2</v>
      </c>
      <c r="J464">
        <v>5.8</v>
      </c>
      <c r="K464">
        <v>11.6</v>
      </c>
    </row>
    <row r="465" spans="1:11" x14ac:dyDescent="0.3">
      <c r="A465">
        <v>1464</v>
      </c>
      <c r="B465" s="3" t="s">
        <v>562</v>
      </c>
      <c r="C465" s="1" t="s">
        <v>265</v>
      </c>
      <c r="D465" t="s">
        <v>48</v>
      </c>
      <c r="E465" t="s">
        <v>20</v>
      </c>
      <c r="F465" t="s">
        <v>15</v>
      </c>
      <c r="G465" t="s">
        <v>22</v>
      </c>
      <c r="H465" t="s">
        <v>23</v>
      </c>
      <c r="I465">
        <v>5</v>
      </c>
      <c r="J465">
        <v>3.8</v>
      </c>
      <c r="K465">
        <v>19</v>
      </c>
    </row>
    <row r="466" spans="1:11" x14ac:dyDescent="0.3">
      <c r="A466">
        <v>1465</v>
      </c>
      <c r="B466" s="3" t="s">
        <v>358</v>
      </c>
      <c r="C466" s="1" t="s">
        <v>563</v>
      </c>
      <c r="D466" t="s">
        <v>38</v>
      </c>
      <c r="E466" t="s">
        <v>39</v>
      </c>
      <c r="F466" t="s">
        <v>21</v>
      </c>
      <c r="G466" t="s">
        <v>29</v>
      </c>
      <c r="H466" t="s">
        <v>30</v>
      </c>
      <c r="I466">
        <v>2</v>
      </c>
      <c r="J466">
        <v>5.1100000000000003</v>
      </c>
      <c r="K466">
        <v>10.220000000000001</v>
      </c>
    </row>
    <row r="467" spans="1:11" x14ac:dyDescent="0.3">
      <c r="A467">
        <v>1466</v>
      </c>
      <c r="B467" s="3" t="s">
        <v>112</v>
      </c>
      <c r="C467" s="1" t="s">
        <v>564</v>
      </c>
      <c r="D467" t="s">
        <v>48</v>
      </c>
      <c r="E467" t="s">
        <v>14</v>
      </c>
      <c r="F467" t="s">
        <v>21</v>
      </c>
      <c r="G467" t="s">
        <v>22</v>
      </c>
      <c r="H467" t="s">
        <v>23</v>
      </c>
      <c r="I467">
        <v>4</v>
      </c>
      <c r="J467">
        <v>3.11</v>
      </c>
      <c r="K467">
        <v>12.44</v>
      </c>
    </row>
    <row r="468" spans="1:11" x14ac:dyDescent="0.3">
      <c r="A468">
        <v>1467</v>
      </c>
      <c r="B468" s="3" t="s">
        <v>181</v>
      </c>
      <c r="C468" s="1" t="s">
        <v>374</v>
      </c>
      <c r="D468" t="s">
        <v>26</v>
      </c>
      <c r="E468" t="s">
        <v>20</v>
      </c>
      <c r="F468" t="s">
        <v>21</v>
      </c>
      <c r="G468" t="s">
        <v>70</v>
      </c>
      <c r="H468" t="s">
        <v>71</v>
      </c>
      <c r="I468">
        <v>3</v>
      </c>
      <c r="J468">
        <v>5.52</v>
      </c>
      <c r="K468">
        <v>16.559999999999999</v>
      </c>
    </row>
    <row r="469" spans="1:11" x14ac:dyDescent="0.3">
      <c r="A469">
        <v>1468</v>
      </c>
      <c r="B469" s="3" t="s">
        <v>11</v>
      </c>
      <c r="C469" s="1" t="s">
        <v>485</v>
      </c>
      <c r="D469" t="s">
        <v>13</v>
      </c>
      <c r="E469" t="s">
        <v>14</v>
      </c>
      <c r="F469" t="s">
        <v>15</v>
      </c>
      <c r="G469" t="s">
        <v>16</v>
      </c>
      <c r="H469" t="s">
        <v>17</v>
      </c>
      <c r="I469">
        <v>4</v>
      </c>
      <c r="J469">
        <v>5.8</v>
      </c>
      <c r="K469">
        <v>23.2</v>
      </c>
    </row>
    <row r="470" spans="1:11" x14ac:dyDescent="0.3">
      <c r="A470">
        <v>1469</v>
      </c>
      <c r="B470" s="3" t="s">
        <v>328</v>
      </c>
      <c r="C470" s="1" t="s">
        <v>565</v>
      </c>
      <c r="D470" t="s">
        <v>26</v>
      </c>
      <c r="E470" t="s">
        <v>34</v>
      </c>
      <c r="F470" t="s">
        <v>21</v>
      </c>
      <c r="G470" t="s">
        <v>22</v>
      </c>
      <c r="H470" t="s">
        <v>23</v>
      </c>
      <c r="I470">
        <v>1</v>
      </c>
      <c r="J470">
        <v>5.26</v>
      </c>
      <c r="K470">
        <v>5.26</v>
      </c>
    </row>
    <row r="471" spans="1:11" x14ac:dyDescent="0.3">
      <c r="A471">
        <v>1470</v>
      </c>
      <c r="B471" s="3" t="s">
        <v>315</v>
      </c>
      <c r="C471" s="1" t="s">
        <v>566</v>
      </c>
      <c r="D471" t="s">
        <v>48</v>
      </c>
      <c r="E471" t="s">
        <v>39</v>
      </c>
      <c r="F471" t="s">
        <v>21</v>
      </c>
      <c r="G471" t="s">
        <v>22</v>
      </c>
      <c r="H471" t="s">
        <v>23</v>
      </c>
      <c r="I471">
        <v>4</v>
      </c>
      <c r="J471">
        <v>5.39</v>
      </c>
      <c r="K471">
        <v>21.56</v>
      </c>
    </row>
    <row r="472" spans="1:11" x14ac:dyDescent="0.3">
      <c r="A472">
        <v>1471</v>
      </c>
      <c r="B472" s="3" t="s">
        <v>487</v>
      </c>
      <c r="C472" s="1" t="s">
        <v>567</v>
      </c>
      <c r="D472" t="s">
        <v>26</v>
      </c>
      <c r="E472" t="s">
        <v>20</v>
      </c>
      <c r="F472" t="s">
        <v>15</v>
      </c>
      <c r="G472" t="s">
        <v>16</v>
      </c>
      <c r="H472" t="s">
        <v>35</v>
      </c>
      <c r="I472">
        <v>4</v>
      </c>
      <c r="J472">
        <v>2.99</v>
      </c>
      <c r="K472">
        <v>11.96</v>
      </c>
    </row>
    <row r="473" spans="1:11" x14ac:dyDescent="0.3">
      <c r="A473">
        <v>1472</v>
      </c>
      <c r="B473" s="3" t="s">
        <v>126</v>
      </c>
      <c r="C473" s="1" t="s">
        <v>568</v>
      </c>
      <c r="D473" t="s">
        <v>26</v>
      </c>
      <c r="E473" t="s">
        <v>14</v>
      </c>
      <c r="F473" t="s">
        <v>21</v>
      </c>
      <c r="G473" t="s">
        <v>16</v>
      </c>
      <c r="H473" t="s">
        <v>35</v>
      </c>
      <c r="I473">
        <v>4</v>
      </c>
      <c r="J473">
        <v>2.52</v>
      </c>
      <c r="K473">
        <v>10.08</v>
      </c>
    </row>
    <row r="474" spans="1:11" x14ac:dyDescent="0.3">
      <c r="A474">
        <v>1473</v>
      </c>
      <c r="B474" s="3" t="s">
        <v>418</v>
      </c>
      <c r="C474" s="1" t="s">
        <v>115</v>
      </c>
      <c r="D474" t="s">
        <v>42</v>
      </c>
      <c r="E474" t="s">
        <v>14</v>
      </c>
      <c r="F474" t="s">
        <v>28</v>
      </c>
      <c r="G474" t="s">
        <v>29</v>
      </c>
      <c r="H474" t="s">
        <v>52</v>
      </c>
      <c r="I474">
        <v>3</v>
      </c>
      <c r="J474">
        <v>2.23</v>
      </c>
      <c r="K474">
        <v>6.69</v>
      </c>
    </row>
    <row r="475" spans="1:11" x14ac:dyDescent="0.3">
      <c r="A475">
        <v>1474</v>
      </c>
      <c r="B475" s="3" t="s">
        <v>102</v>
      </c>
      <c r="C475" s="1" t="s">
        <v>341</v>
      </c>
      <c r="D475" t="s">
        <v>33</v>
      </c>
      <c r="E475" t="s">
        <v>14</v>
      </c>
      <c r="F475" t="s">
        <v>21</v>
      </c>
      <c r="G475" t="s">
        <v>29</v>
      </c>
      <c r="H475" t="s">
        <v>57</v>
      </c>
      <c r="I475">
        <v>5</v>
      </c>
      <c r="J475">
        <v>5.95</v>
      </c>
      <c r="K475">
        <v>29.75</v>
      </c>
    </row>
    <row r="476" spans="1:11" x14ac:dyDescent="0.3">
      <c r="A476">
        <v>1475</v>
      </c>
      <c r="B476" s="3" t="s">
        <v>454</v>
      </c>
      <c r="C476" s="1" t="s">
        <v>569</v>
      </c>
      <c r="D476" t="s">
        <v>26</v>
      </c>
      <c r="E476" t="s">
        <v>27</v>
      </c>
      <c r="F476" t="s">
        <v>28</v>
      </c>
      <c r="G476" t="s">
        <v>70</v>
      </c>
      <c r="H476" t="s">
        <v>71</v>
      </c>
      <c r="I476">
        <v>4</v>
      </c>
      <c r="J476">
        <v>4.18</v>
      </c>
      <c r="K476">
        <v>16.72</v>
      </c>
    </row>
    <row r="477" spans="1:11" x14ac:dyDescent="0.3">
      <c r="A477">
        <v>1476</v>
      </c>
      <c r="B477" s="3" t="s">
        <v>270</v>
      </c>
      <c r="C477" s="1" t="s">
        <v>75</v>
      </c>
      <c r="D477" t="s">
        <v>33</v>
      </c>
      <c r="E477" t="s">
        <v>34</v>
      </c>
      <c r="F477" t="s">
        <v>28</v>
      </c>
      <c r="G477" t="s">
        <v>22</v>
      </c>
      <c r="H477" t="s">
        <v>23</v>
      </c>
      <c r="I477">
        <v>2</v>
      </c>
      <c r="J477">
        <v>4.3</v>
      </c>
      <c r="K477">
        <v>8.6</v>
      </c>
    </row>
    <row r="478" spans="1:11" x14ac:dyDescent="0.3">
      <c r="A478">
        <v>1477</v>
      </c>
      <c r="B478" s="3" t="s">
        <v>328</v>
      </c>
      <c r="C478" s="1" t="s">
        <v>570</v>
      </c>
      <c r="D478" t="s">
        <v>26</v>
      </c>
      <c r="E478" t="s">
        <v>34</v>
      </c>
      <c r="F478" t="s">
        <v>28</v>
      </c>
      <c r="G478" t="s">
        <v>70</v>
      </c>
      <c r="H478" t="s">
        <v>95</v>
      </c>
      <c r="I478">
        <v>5</v>
      </c>
      <c r="J478">
        <v>3.38</v>
      </c>
      <c r="K478">
        <v>16.899999999999999</v>
      </c>
    </row>
    <row r="479" spans="1:11" x14ac:dyDescent="0.3">
      <c r="A479">
        <v>1478</v>
      </c>
      <c r="B479" s="3" t="s">
        <v>262</v>
      </c>
      <c r="C479" s="1" t="s">
        <v>177</v>
      </c>
      <c r="D479" t="s">
        <v>33</v>
      </c>
      <c r="E479" t="s">
        <v>39</v>
      </c>
      <c r="F479" t="s">
        <v>21</v>
      </c>
      <c r="G479" t="s">
        <v>70</v>
      </c>
      <c r="H479" t="s">
        <v>90</v>
      </c>
      <c r="I479">
        <v>1</v>
      </c>
      <c r="J479">
        <v>4.2</v>
      </c>
      <c r="K479">
        <v>4.2</v>
      </c>
    </row>
    <row r="480" spans="1:11" x14ac:dyDescent="0.3">
      <c r="A480">
        <v>1479</v>
      </c>
      <c r="B480" s="3" t="s">
        <v>459</v>
      </c>
      <c r="C480" s="1" t="s">
        <v>571</v>
      </c>
      <c r="D480" t="s">
        <v>13</v>
      </c>
      <c r="E480" t="s">
        <v>39</v>
      </c>
      <c r="F480" t="s">
        <v>21</v>
      </c>
      <c r="G480" t="s">
        <v>29</v>
      </c>
      <c r="H480" t="s">
        <v>30</v>
      </c>
      <c r="I480">
        <v>4</v>
      </c>
      <c r="J480">
        <v>2.82</v>
      </c>
      <c r="K480">
        <v>11.28</v>
      </c>
    </row>
    <row r="481" spans="1:11" x14ac:dyDescent="0.3">
      <c r="A481">
        <v>1480</v>
      </c>
      <c r="B481" s="3" t="s">
        <v>325</v>
      </c>
      <c r="C481" s="1" t="s">
        <v>413</v>
      </c>
      <c r="D481" t="s">
        <v>38</v>
      </c>
      <c r="E481" t="s">
        <v>27</v>
      </c>
      <c r="F481" t="s">
        <v>21</v>
      </c>
      <c r="G481" t="s">
        <v>16</v>
      </c>
      <c r="H481" t="s">
        <v>17</v>
      </c>
      <c r="I481">
        <v>2</v>
      </c>
      <c r="J481">
        <v>3.49</v>
      </c>
      <c r="K481">
        <v>6.98</v>
      </c>
    </row>
    <row r="482" spans="1:11" x14ac:dyDescent="0.3">
      <c r="A482">
        <v>1481</v>
      </c>
      <c r="B482" s="3" t="s">
        <v>443</v>
      </c>
      <c r="C482" s="1" t="s">
        <v>572</v>
      </c>
      <c r="D482" t="s">
        <v>42</v>
      </c>
      <c r="E482" t="s">
        <v>79</v>
      </c>
      <c r="F482" t="s">
        <v>28</v>
      </c>
      <c r="G482" t="s">
        <v>16</v>
      </c>
      <c r="H482" t="s">
        <v>76</v>
      </c>
      <c r="I482">
        <v>2</v>
      </c>
      <c r="J482">
        <v>5.52</v>
      </c>
      <c r="K482">
        <v>11.04</v>
      </c>
    </row>
    <row r="483" spans="1:11" x14ac:dyDescent="0.3">
      <c r="A483">
        <v>1482</v>
      </c>
      <c r="B483" s="3" t="s">
        <v>459</v>
      </c>
      <c r="C483" s="1" t="s">
        <v>573</v>
      </c>
      <c r="D483" t="s">
        <v>13</v>
      </c>
      <c r="E483" t="s">
        <v>39</v>
      </c>
      <c r="F483" t="s">
        <v>28</v>
      </c>
      <c r="G483" t="s">
        <v>16</v>
      </c>
      <c r="H483" t="s">
        <v>76</v>
      </c>
      <c r="I483">
        <v>1</v>
      </c>
      <c r="J483">
        <v>5.67</v>
      </c>
      <c r="K483">
        <v>5.67</v>
      </c>
    </row>
    <row r="484" spans="1:11" x14ac:dyDescent="0.3">
      <c r="A484">
        <v>1483</v>
      </c>
      <c r="B484" s="3" t="s">
        <v>478</v>
      </c>
      <c r="C484" s="1" t="s">
        <v>574</v>
      </c>
      <c r="D484" t="s">
        <v>13</v>
      </c>
      <c r="E484" t="s">
        <v>27</v>
      </c>
      <c r="F484" t="s">
        <v>15</v>
      </c>
      <c r="G484" t="s">
        <v>70</v>
      </c>
      <c r="H484" t="s">
        <v>71</v>
      </c>
      <c r="I484">
        <v>1</v>
      </c>
      <c r="J484">
        <v>4.09</v>
      </c>
      <c r="K484">
        <v>4.09</v>
      </c>
    </row>
    <row r="485" spans="1:11" x14ac:dyDescent="0.3">
      <c r="A485">
        <v>1484</v>
      </c>
      <c r="B485" s="3" t="s">
        <v>58</v>
      </c>
      <c r="C485" s="1" t="s">
        <v>193</v>
      </c>
      <c r="D485" t="s">
        <v>42</v>
      </c>
      <c r="E485" t="s">
        <v>14</v>
      </c>
      <c r="F485" t="s">
        <v>21</v>
      </c>
      <c r="G485" t="s">
        <v>29</v>
      </c>
      <c r="H485" t="s">
        <v>43</v>
      </c>
      <c r="I485">
        <v>4</v>
      </c>
      <c r="J485">
        <v>3.56</v>
      </c>
      <c r="K485">
        <v>14.24</v>
      </c>
    </row>
    <row r="486" spans="1:11" x14ac:dyDescent="0.3">
      <c r="A486">
        <v>1485</v>
      </c>
      <c r="B486" s="3" t="s">
        <v>96</v>
      </c>
      <c r="C486" s="1" t="s">
        <v>561</v>
      </c>
      <c r="D486" t="s">
        <v>26</v>
      </c>
      <c r="E486" t="s">
        <v>79</v>
      </c>
      <c r="F486" t="s">
        <v>28</v>
      </c>
      <c r="G486" t="s">
        <v>29</v>
      </c>
      <c r="H486" t="s">
        <v>52</v>
      </c>
      <c r="I486">
        <v>2</v>
      </c>
      <c r="J486">
        <v>5.12</v>
      </c>
      <c r="K486">
        <v>10.24</v>
      </c>
    </row>
    <row r="487" spans="1:11" x14ac:dyDescent="0.3">
      <c r="A487">
        <v>1486</v>
      </c>
      <c r="B487" s="3" t="s">
        <v>153</v>
      </c>
      <c r="C487" s="1" t="s">
        <v>575</v>
      </c>
      <c r="D487" t="s">
        <v>13</v>
      </c>
      <c r="E487" t="s">
        <v>14</v>
      </c>
      <c r="F487" t="s">
        <v>15</v>
      </c>
      <c r="G487" t="s">
        <v>22</v>
      </c>
      <c r="H487" t="s">
        <v>23</v>
      </c>
      <c r="I487">
        <v>1</v>
      </c>
      <c r="J487">
        <v>5.49</v>
      </c>
      <c r="K487">
        <v>5.49</v>
      </c>
    </row>
    <row r="488" spans="1:11" x14ac:dyDescent="0.3">
      <c r="A488">
        <v>1487</v>
      </c>
      <c r="B488" s="3" t="s">
        <v>475</v>
      </c>
      <c r="C488" s="1" t="s">
        <v>576</v>
      </c>
      <c r="D488" t="s">
        <v>48</v>
      </c>
      <c r="E488" t="s">
        <v>27</v>
      </c>
      <c r="F488" t="s">
        <v>15</v>
      </c>
      <c r="G488" t="s">
        <v>22</v>
      </c>
      <c r="H488" t="s">
        <v>23</v>
      </c>
      <c r="I488">
        <v>4</v>
      </c>
      <c r="J488">
        <v>5.17</v>
      </c>
      <c r="K488">
        <v>20.68</v>
      </c>
    </row>
    <row r="489" spans="1:11" x14ac:dyDescent="0.3">
      <c r="A489">
        <v>1488</v>
      </c>
      <c r="B489" s="3" t="s">
        <v>301</v>
      </c>
      <c r="C489" s="1" t="s">
        <v>577</v>
      </c>
      <c r="D489" t="s">
        <v>33</v>
      </c>
      <c r="E489" t="s">
        <v>14</v>
      </c>
      <c r="F489" t="s">
        <v>15</v>
      </c>
      <c r="G489" t="s">
        <v>16</v>
      </c>
      <c r="H489" t="s">
        <v>76</v>
      </c>
      <c r="I489">
        <v>4</v>
      </c>
      <c r="J489">
        <v>4.87</v>
      </c>
      <c r="K489">
        <v>19.48</v>
      </c>
    </row>
    <row r="490" spans="1:11" x14ac:dyDescent="0.3">
      <c r="A490">
        <v>1489</v>
      </c>
      <c r="B490" s="3" t="s">
        <v>156</v>
      </c>
      <c r="C490" s="1" t="s">
        <v>56</v>
      </c>
      <c r="D490" t="s">
        <v>26</v>
      </c>
      <c r="E490" t="s">
        <v>14</v>
      </c>
      <c r="F490" t="s">
        <v>28</v>
      </c>
      <c r="G490" t="s">
        <v>22</v>
      </c>
      <c r="H490" t="s">
        <v>23</v>
      </c>
      <c r="I490">
        <v>3</v>
      </c>
      <c r="J490">
        <v>5.47</v>
      </c>
      <c r="K490">
        <v>16.41</v>
      </c>
    </row>
    <row r="491" spans="1:11" x14ac:dyDescent="0.3">
      <c r="A491">
        <v>1490</v>
      </c>
      <c r="B491" s="3" t="s">
        <v>82</v>
      </c>
      <c r="C491" s="1" t="s">
        <v>578</v>
      </c>
      <c r="D491" t="s">
        <v>48</v>
      </c>
      <c r="E491" t="s">
        <v>20</v>
      </c>
      <c r="F491" t="s">
        <v>21</v>
      </c>
      <c r="G491" t="s">
        <v>29</v>
      </c>
      <c r="H491" t="s">
        <v>52</v>
      </c>
      <c r="I491">
        <v>1</v>
      </c>
      <c r="J491">
        <v>3.8</v>
      </c>
      <c r="K491">
        <v>3.8</v>
      </c>
    </row>
    <row r="492" spans="1:11" x14ac:dyDescent="0.3">
      <c r="A492">
        <v>1491</v>
      </c>
      <c r="B492" s="3" t="s">
        <v>334</v>
      </c>
      <c r="C492" s="1" t="s">
        <v>101</v>
      </c>
      <c r="D492" t="s">
        <v>38</v>
      </c>
      <c r="E492" t="s">
        <v>14</v>
      </c>
      <c r="F492" t="s">
        <v>15</v>
      </c>
      <c r="G492" t="s">
        <v>16</v>
      </c>
      <c r="H492" t="s">
        <v>17</v>
      </c>
      <c r="I492">
        <v>1</v>
      </c>
      <c r="J492">
        <v>4.4400000000000004</v>
      </c>
      <c r="K492">
        <v>4.4400000000000004</v>
      </c>
    </row>
    <row r="493" spans="1:11" x14ac:dyDescent="0.3">
      <c r="A493">
        <v>1492</v>
      </c>
      <c r="B493" s="3" t="s">
        <v>454</v>
      </c>
      <c r="C493" s="1" t="s">
        <v>332</v>
      </c>
      <c r="D493" t="s">
        <v>26</v>
      </c>
      <c r="E493" t="s">
        <v>27</v>
      </c>
      <c r="F493" t="s">
        <v>28</v>
      </c>
      <c r="G493" t="s">
        <v>22</v>
      </c>
      <c r="H493" t="s">
        <v>23</v>
      </c>
      <c r="I493">
        <v>4</v>
      </c>
      <c r="J493">
        <v>4.2699999999999996</v>
      </c>
      <c r="K493">
        <v>17.079999999999998</v>
      </c>
    </row>
    <row r="494" spans="1:11" x14ac:dyDescent="0.3">
      <c r="A494">
        <v>1493</v>
      </c>
      <c r="B494" s="3" t="s">
        <v>469</v>
      </c>
      <c r="C494" s="1" t="s">
        <v>152</v>
      </c>
      <c r="D494" t="s">
        <v>33</v>
      </c>
      <c r="E494" t="s">
        <v>79</v>
      </c>
      <c r="F494" t="s">
        <v>28</v>
      </c>
      <c r="G494" t="s">
        <v>22</v>
      </c>
      <c r="H494" t="s">
        <v>23</v>
      </c>
      <c r="I494">
        <v>4</v>
      </c>
      <c r="J494">
        <v>3.77</v>
      </c>
      <c r="K494">
        <v>15.08</v>
      </c>
    </row>
    <row r="495" spans="1:11" x14ac:dyDescent="0.3">
      <c r="A495">
        <v>1494</v>
      </c>
      <c r="B495" s="3" t="s">
        <v>126</v>
      </c>
      <c r="C495" s="1" t="s">
        <v>579</v>
      </c>
      <c r="D495" t="s">
        <v>26</v>
      </c>
      <c r="E495" t="s">
        <v>14</v>
      </c>
      <c r="F495" t="s">
        <v>21</v>
      </c>
      <c r="G495" t="s">
        <v>22</v>
      </c>
      <c r="H495" t="s">
        <v>23</v>
      </c>
      <c r="I495">
        <v>3</v>
      </c>
      <c r="J495">
        <v>4.53</v>
      </c>
      <c r="K495">
        <v>13.59</v>
      </c>
    </row>
    <row r="496" spans="1:11" x14ac:dyDescent="0.3">
      <c r="A496">
        <v>1495</v>
      </c>
      <c r="B496" s="3" t="s">
        <v>185</v>
      </c>
      <c r="C496" s="1" t="s">
        <v>580</v>
      </c>
      <c r="D496" t="s">
        <v>13</v>
      </c>
      <c r="E496" t="s">
        <v>39</v>
      </c>
      <c r="F496" t="s">
        <v>28</v>
      </c>
      <c r="G496" t="s">
        <v>22</v>
      </c>
      <c r="H496" t="s">
        <v>23</v>
      </c>
      <c r="I496">
        <v>1</v>
      </c>
      <c r="J496">
        <v>2.8</v>
      </c>
      <c r="K496">
        <v>2.8</v>
      </c>
    </row>
    <row r="497" spans="1:11" x14ac:dyDescent="0.3">
      <c r="A497">
        <v>1496</v>
      </c>
      <c r="B497" s="3" t="s">
        <v>120</v>
      </c>
      <c r="C497" s="1" t="s">
        <v>336</v>
      </c>
      <c r="D497" t="s">
        <v>33</v>
      </c>
      <c r="E497" t="s">
        <v>20</v>
      </c>
      <c r="F497" t="s">
        <v>15</v>
      </c>
      <c r="G497" t="s">
        <v>16</v>
      </c>
      <c r="H497" t="s">
        <v>35</v>
      </c>
      <c r="I497">
        <v>2</v>
      </c>
      <c r="J497">
        <v>2.38</v>
      </c>
      <c r="K497">
        <v>4.76</v>
      </c>
    </row>
    <row r="498" spans="1:11" x14ac:dyDescent="0.3">
      <c r="A498">
        <v>1497</v>
      </c>
      <c r="B498" s="3" t="s">
        <v>346</v>
      </c>
      <c r="C498" s="1" t="s">
        <v>304</v>
      </c>
      <c r="D498" t="s">
        <v>48</v>
      </c>
      <c r="E498" t="s">
        <v>51</v>
      </c>
      <c r="F498" t="s">
        <v>28</v>
      </c>
      <c r="G498" t="s">
        <v>16</v>
      </c>
      <c r="H498" t="s">
        <v>76</v>
      </c>
      <c r="I498">
        <v>2</v>
      </c>
      <c r="J498">
        <v>2.9</v>
      </c>
      <c r="K498">
        <v>5.8</v>
      </c>
    </row>
    <row r="499" spans="1:11" x14ac:dyDescent="0.3">
      <c r="A499">
        <v>1498</v>
      </c>
      <c r="B499" s="3" t="s">
        <v>166</v>
      </c>
      <c r="C499" s="1" t="s">
        <v>442</v>
      </c>
      <c r="D499" t="s">
        <v>48</v>
      </c>
      <c r="E499" t="s">
        <v>79</v>
      </c>
      <c r="F499" t="s">
        <v>15</v>
      </c>
      <c r="G499" t="s">
        <v>16</v>
      </c>
      <c r="H499" t="s">
        <v>17</v>
      </c>
      <c r="I499">
        <v>4</v>
      </c>
      <c r="J499">
        <v>2.42</v>
      </c>
      <c r="K499">
        <v>9.68</v>
      </c>
    </row>
    <row r="500" spans="1:11" x14ac:dyDescent="0.3">
      <c r="A500">
        <v>1499</v>
      </c>
      <c r="B500" s="3" t="s">
        <v>284</v>
      </c>
      <c r="C500" s="1" t="s">
        <v>111</v>
      </c>
      <c r="D500" t="s">
        <v>38</v>
      </c>
      <c r="E500" t="s">
        <v>27</v>
      </c>
      <c r="F500" t="s">
        <v>28</v>
      </c>
      <c r="G500" t="s">
        <v>29</v>
      </c>
      <c r="H500" t="s">
        <v>30</v>
      </c>
      <c r="I500">
        <v>5</v>
      </c>
      <c r="J500">
        <v>2.5099999999999998</v>
      </c>
      <c r="K500">
        <v>12.55</v>
      </c>
    </row>
    <row r="501" spans="1:11" x14ac:dyDescent="0.3">
      <c r="A501">
        <v>1500</v>
      </c>
      <c r="B501" s="3" t="s">
        <v>428</v>
      </c>
      <c r="C501" s="1" t="s">
        <v>437</v>
      </c>
      <c r="D501" t="s">
        <v>13</v>
      </c>
      <c r="E501" t="s">
        <v>20</v>
      </c>
      <c r="F501" t="s">
        <v>21</v>
      </c>
      <c r="G501" t="s">
        <v>70</v>
      </c>
      <c r="H501" t="s">
        <v>90</v>
      </c>
      <c r="I501">
        <v>2</v>
      </c>
      <c r="J501">
        <v>5.87</v>
      </c>
      <c r="K501">
        <v>11.74</v>
      </c>
    </row>
    <row r="502" spans="1:11" x14ac:dyDescent="0.3">
      <c r="A502">
        <v>1501</v>
      </c>
      <c r="B502" s="3" t="s">
        <v>36</v>
      </c>
      <c r="C502" s="1" t="s">
        <v>581</v>
      </c>
      <c r="D502" t="s">
        <v>38</v>
      </c>
      <c r="E502" t="s">
        <v>39</v>
      </c>
      <c r="F502" t="s">
        <v>21</v>
      </c>
      <c r="G502" t="s">
        <v>22</v>
      </c>
      <c r="H502" t="s">
        <v>23</v>
      </c>
      <c r="I502">
        <v>5</v>
      </c>
      <c r="J502">
        <v>3.24</v>
      </c>
      <c r="K502">
        <v>16.2</v>
      </c>
    </row>
    <row r="503" spans="1:11" x14ac:dyDescent="0.3">
      <c r="A503">
        <v>1502</v>
      </c>
      <c r="B503" s="3" t="s">
        <v>104</v>
      </c>
      <c r="C503" s="1" t="s">
        <v>436</v>
      </c>
      <c r="D503" t="s">
        <v>42</v>
      </c>
      <c r="E503" t="s">
        <v>39</v>
      </c>
      <c r="F503" t="s">
        <v>28</v>
      </c>
      <c r="G503" t="s">
        <v>29</v>
      </c>
      <c r="H503" t="s">
        <v>30</v>
      </c>
      <c r="I503">
        <v>2</v>
      </c>
      <c r="J503">
        <v>3.98</v>
      </c>
      <c r="K503">
        <v>7.96</v>
      </c>
    </row>
    <row r="504" spans="1:11" x14ac:dyDescent="0.3">
      <c r="A504">
        <v>1503</v>
      </c>
      <c r="B504" s="3" t="s">
        <v>40</v>
      </c>
      <c r="C504" s="1" t="s">
        <v>532</v>
      </c>
      <c r="D504" t="s">
        <v>42</v>
      </c>
      <c r="E504" t="s">
        <v>34</v>
      </c>
      <c r="F504" t="s">
        <v>21</v>
      </c>
      <c r="G504" t="s">
        <v>70</v>
      </c>
      <c r="H504" t="s">
        <v>71</v>
      </c>
      <c r="I504">
        <v>5</v>
      </c>
      <c r="J504">
        <v>3.8</v>
      </c>
      <c r="K504">
        <v>19</v>
      </c>
    </row>
    <row r="505" spans="1:11" x14ac:dyDescent="0.3">
      <c r="A505">
        <v>1504</v>
      </c>
      <c r="B505" s="3" t="s">
        <v>77</v>
      </c>
      <c r="C505" s="1" t="s">
        <v>582</v>
      </c>
      <c r="D505" t="s">
        <v>38</v>
      </c>
      <c r="E505" t="s">
        <v>79</v>
      </c>
      <c r="F505" t="s">
        <v>15</v>
      </c>
      <c r="G505" t="s">
        <v>29</v>
      </c>
      <c r="H505" t="s">
        <v>52</v>
      </c>
      <c r="I505">
        <v>3</v>
      </c>
      <c r="J505">
        <v>2.4300000000000002</v>
      </c>
      <c r="K505">
        <v>7.29</v>
      </c>
    </row>
    <row r="506" spans="1:11" x14ac:dyDescent="0.3">
      <c r="A506">
        <v>1505</v>
      </c>
      <c r="B506" s="3" t="s">
        <v>505</v>
      </c>
      <c r="C506" s="1" t="s">
        <v>294</v>
      </c>
      <c r="D506" t="s">
        <v>42</v>
      </c>
      <c r="E506" t="s">
        <v>39</v>
      </c>
      <c r="F506" t="s">
        <v>15</v>
      </c>
      <c r="G506" t="s">
        <v>22</v>
      </c>
      <c r="H506" t="s">
        <v>23</v>
      </c>
      <c r="I506">
        <v>3</v>
      </c>
      <c r="J506">
        <v>3.29</v>
      </c>
      <c r="K506">
        <v>9.8699999999999992</v>
      </c>
    </row>
    <row r="507" spans="1:11" x14ac:dyDescent="0.3">
      <c r="A507">
        <v>1506</v>
      </c>
      <c r="B507" s="3" t="s">
        <v>340</v>
      </c>
      <c r="C507" s="1" t="s">
        <v>188</v>
      </c>
      <c r="D507" t="s">
        <v>26</v>
      </c>
      <c r="E507" t="s">
        <v>39</v>
      </c>
      <c r="F507" t="s">
        <v>28</v>
      </c>
      <c r="G507" t="s">
        <v>70</v>
      </c>
      <c r="H507" t="s">
        <v>71</v>
      </c>
      <c r="I507">
        <v>1</v>
      </c>
      <c r="J507">
        <v>2.5099999999999998</v>
      </c>
      <c r="K507">
        <v>2.5099999999999998</v>
      </c>
    </row>
    <row r="508" spans="1:11" x14ac:dyDescent="0.3">
      <c r="A508">
        <v>1507</v>
      </c>
      <c r="B508" s="3" t="s">
        <v>197</v>
      </c>
      <c r="C508" s="1" t="s">
        <v>583</v>
      </c>
      <c r="D508" t="s">
        <v>33</v>
      </c>
      <c r="E508" t="s">
        <v>79</v>
      </c>
      <c r="F508" t="s">
        <v>15</v>
      </c>
      <c r="G508" t="s">
        <v>16</v>
      </c>
      <c r="H508" t="s">
        <v>76</v>
      </c>
      <c r="I508">
        <v>1</v>
      </c>
      <c r="J508">
        <v>2.89</v>
      </c>
      <c r="K508">
        <v>2.89</v>
      </c>
    </row>
    <row r="509" spans="1:11" x14ac:dyDescent="0.3">
      <c r="A509">
        <v>1508</v>
      </c>
      <c r="B509" s="3" t="s">
        <v>545</v>
      </c>
      <c r="C509" s="1" t="s">
        <v>511</v>
      </c>
      <c r="D509" t="s">
        <v>13</v>
      </c>
      <c r="E509" t="s">
        <v>14</v>
      </c>
      <c r="F509" t="s">
        <v>21</v>
      </c>
      <c r="G509" t="s">
        <v>16</v>
      </c>
      <c r="H509" t="s">
        <v>17</v>
      </c>
      <c r="I509">
        <v>2</v>
      </c>
      <c r="J509">
        <v>3.26</v>
      </c>
      <c r="K509">
        <v>6.52</v>
      </c>
    </row>
    <row r="510" spans="1:11" x14ac:dyDescent="0.3">
      <c r="A510">
        <v>1509</v>
      </c>
      <c r="B510" s="3" t="s">
        <v>84</v>
      </c>
      <c r="C510" s="1" t="s">
        <v>584</v>
      </c>
      <c r="D510" t="s">
        <v>26</v>
      </c>
      <c r="E510" t="s">
        <v>79</v>
      </c>
      <c r="F510" t="s">
        <v>15</v>
      </c>
      <c r="G510" t="s">
        <v>29</v>
      </c>
      <c r="H510" t="s">
        <v>57</v>
      </c>
      <c r="I510">
        <v>2</v>
      </c>
      <c r="J510">
        <v>2.2200000000000002</v>
      </c>
      <c r="K510">
        <v>4.4400000000000004</v>
      </c>
    </row>
    <row r="511" spans="1:11" x14ac:dyDescent="0.3">
      <c r="A511">
        <v>1510</v>
      </c>
      <c r="B511" s="3" t="s">
        <v>454</v>
      </c>
      <c r="C511" s="1" t="s">
        <v>585</v>
      </c>
      <c r="D511" t="s">
        <v>26</v>
      </c>
      <c r="E511" t="s">
        <v>27</v>
      </c>
      <c r="F511" t="s">
        <v>15</v>
      </c>
      <c r="G511" t="s">
        <v>22</v>
      </c>
      <c r="H511" t="s">
        <v>23</v>
      </c>
      <c r="I511">
        <v>2</v>
      </c>
      <c r="J511">
        <v>5.71</v>
      </c>
      <c r="K511">
        <v>11.42</v>
      </c>
    </row>
    <row r="512" spans="1:11" x14ac:dyDescent="0.3">
      <c r="A512">
        <v>1511</v>
      </c>
      <c r="B512" s="3" t="s">
        <v>284</v>
      </c>
      <c r="C512" s="1" t="s">
        <v>261</v>
      </c>
      <c r="D512" t="s">
        <v>38</v>
      </c>
      <c r="E512" t="s">
        <v>27</v>
      </c>
      <c r="F512" t="s">
        <v>21</v>
      </c>
      <c r="G512" t="s">
        <v>70</v>
      </c>
      <c r="H512" t="s">
        <v>95</v>
      </c>
      <c r="I512">
        <v>4</v>
      </c>
      <c r="J512">
        <v>4.2699999999999996</v>
      </c>
      <c r="K512">
        <v>17.079999999999998</v>
      </c>
    </row>
    <row r="513" spans="1:11" x14ac:dyDescent="0.3">
      <c r="A513">
        <v>1512</v>
      </c>
      <c r="B513" s="3" t="s">
        <v>130</v>
      </c>
      <c r="C513" s="1" t="s">
        <v>329</v>
      </c>
      <c r="D513" t="s">
        <v>26</v>
      </c>
      <c r="E513" t="s">
        <v>20</v>
      </c>
      <c r="F513" t="s">
        <v>28</v>
      </c>
      <c r="G513" t="s">
        <v>16</v>
      </c>
      <c r="H513" t="s">
        <v>17</v>
      </c>
      <c r="I513">
        <v>3</v>
      </c>
      <c r="J513">
        <v>3.88</v>
      </c>
      <c r="K513">
        <v>11.64</v>
      </c>
    </row>
    <row r="514" spans="1:11" x14ac:dyDescent="0.3">
      <c r="A514">
        <v>1513</v>
      </c>
      <c r="B514" s="3" t="s">
        <v>270</v>
      </c>
      <c r="C514" s="1" t="s">
        <v>333</v>
      </c>
      <c r="D514" t="s">
        <v>33</v>
      </c>
      <c r="E514" t="s">
        <v>34</v>
      </c>
      <c r="F514" t="s">
        <v>28</v>
      </c>
      <c r="G514" t="s">
        <v>22</v>
      </c>
      <c r="H514" t="s">
        <v>23</v>
      </c>
      <c r="I514">
        <v>2</v>
      </c>
      <c r="J514">
        <v>2.86</v>
      </c>
      <c r="K514">
        <v>5.72</v>
      </c>
    </row>
    <row r="515" spans="1:11" x14ac:dyDescent="0.3">
      <c r="A515">
        <v>1514</v>
      </c>
      <c r="B515" s="3" t="s">
        <v>114</v>
      </c>
      <c r="C515" s="1" t="s">
        <v>586</v>
      </c>
      <c r="D515" t="s">
        <v>26</v>
      </c>
      <c r="E515" t="s">
        <v>20</v>
      </c>
      <c r="F515" t="s">
        <v>21</v>
      </c>
      <c r="G515" t="s">
        <v>16</v>
      </c>
      <c r="H515" t="s">
        <v>17</v>
      </c>
      <c r="I515">
        <v>2</v>
      </c>
      <c r="J515">
        <v>2.8</v>
      </c>
      <c r="K515">
        <v>5.6</v>
      </c>
    </row>
    <row r="516" spans="1:11" x14ac:dyDescent="0.3">
      <c r="A516">
        <v>1515</v>
      </c>
      <c r="B516" s="3" t="s">
        <v>363</v>
      </c>
      <c r="C516" s="1" t="s">
        <v>63</v>
      </c>
      <c r="D516" t="s">
        <v>26</v>
      </c>
      <c r="E516" t="s">
        <v>34</v>
      </c>
      <c r="F516" t="s">
        <v>15</v>
      </c>
      <c r="G516" t="s">
        <v>29</v>
      </c>
      <c r="H516" t="s">
        <v>52</v>
      </c>
      <c r="I516">
        <v>5</v>
      </c>
      <c r="J516">
        <v>3.16</v>
      </c>
      <c r="K516">
        <v>15.8</v>
      </c>
    </row>
    <row r="517" spans="1:11" x14ac:dyDescent="0.3">
      <c r="A517">
        <v>1516</v>
      </c>
      <c r="B517" s="3" t="s">
        <v>102</v>
      </c>
      <c r="C517" s="1" t="s">
        <v>587</v>
      </c>
      <c r="D517" t="s">
        <v>33</v>
      </c>
      <c r="E517" t="s">
        <v>14</v>
      </c>
      <c r="F517" t="s">
        <v>21</v>
      </c>
      <c r="G517" t="s">
        <v>22</v>
      </c>
      <c r="H517" t="s">
        <v>23</v>
      </c>
      <c r="I517">
        <v>1</v>
      </c>
      <c r="J517">
        <v>5.43</v>
      </c>
      <c r="K517">
        <v>5.43</v>
      </c>
    </row>
    <row r="518" spans="1:11" x14ac:dyDescent="0.3">
      <c r="A518">
        <v>1517</v>
      </c>
      <c r="B518" s="3" t="s">
        <v>248</v>
      </c>
      <c r="C518" s="1" t="s">
        <v>588</v>
      </c>
      <c r="D518" t="s">
        <v>48</v>
      </c>
      <c r="E518" t="s">
        <v>79</v>
      </c>
      <c r="F518" t="s">
        <v>15</v>
      </c>
      <c r="G518" t="s">
        <v>29</v>
      </c>
      <c r="H518" t="s">
        <v>30</v>
      </c>
      <c r="I518">
        <v>5</v>
      </c>
      <c r="J518">
        <v>5.25</v>
      </c>
      <c r="K518">
        <v>26.25</v>
      </c>
    </row>
    <row r="519" spans="1:11" x14ac:dyDescent="0.3">
      <c r="A519">
        <v>1518</v>
      </c>
      <c r="B519" s="3" t="s">
        <v>469</v>
      </c>
      <c r="C519" s="1" t="s">
        <v>563</v>
      </c>
      <c r="D519" t="s">
        <v>33</v>
      </c>
      <c r="E519" t="s">
        <v>79</v>
      </c>
      <c r="F519" t="s">
        <v>15</v>
      </c>
      <c r="G519" t="s">
        <v>16</v>
      </c>
      <c r="H519" t="s">
        <v>35</v>
      </c>
      <c r="I519">
        <v>3</v>
      </c>
      <c r="J519">
        <v>3</v>
      </c>
      <c r="K519">
        <v>9</v>
      </c>
    </row>
    <row r="520" spans="1:11" x14ac:dyDescent="0.3">
      <c r="A520">
        <v>1519</v>
      </c>
      <c r="B520" s="3" t="s">
        <v>11</v>
      </c>
      <c r="C520" s="1" t="s">
        <v>589</v>
      </c>
      <c r="D520" t="s">
        <v>13</v>
      </c>
      <c r="E520" t="s">
        <v>14</v>
      </c>
      <c r="F520" t="s">
        <v>28</v>
      </c>
      <c r="G520" t="s">
        <v>16</v>
      </c>
      <c r="H520" t="s">
        <v>17</v>
      </c>
      <c r="I520">
        <v>5</v>
      </c>
      <c r="J520">
        <v>5.87</v>
      </c>
      <c r="K520">
        <v>29.35</v>
      </c>
    </row>
    <row r="521" spans="1:11" x14ac:dyDescent="0.3">
      <c r="A521">
        <v>1520</v>
      </c>
      <c r="B521" s="3" t="s">
        <v>166</v>
      </c>
      <c r="C521" s="1" t="s">
        <v>590</v>
      </c>
      <c r="D521" t="s">
        <v>48</v>
      </c>
      <c r="E521" t="s">
        <v>79</v>
      </c>
      <c r="F521" t="s">
        <v>28</v>
      </c>
      <c r="G521" t="s">
        <v>22</v>
      </c>
      <c r="H521" t="s">
        <v>23</v>
      </c>
      <c r="I521">
        <v>1</v>
      </c>
      <c r="J521">
        <v>3.47</v>
      </c>
      <c r="K521">
        <v>3.47</v>
      </c>
    </row>
    <row r="522" spans="1:11" x14ac:dyDescent="0.3">
      <c r="A522">
        <v>1521</v>
      </c>
      <c r="B522" s="3" t="s">
        <v>473</v>
      </c>
      <c r="C522" s="1" t="s">
        <v>37</v>
      </c>
      <c r="D522" t="s">
        <v>33</v>
      </c>
      <c r="E522" t="s">
        <v>27</v>
      </c>
      <c r="F522" t="s">
        <v>28</v>
      </c>
      <c r="G522" t="s">
        <v>16</v>
      </c>
      <c r="H522" t="s">
        <v>76</v>
      </c>
      <c r="I522">
        <v>1</v>
      </c>
      <c r="J522">
        <v>4.46</v>
      </c>
      <c r="K522">
        <v>4.46</v>
      </c>
    </row>
    <row r="523" spans="1:11" x14ac:dyDescent="0.3">
      <c r="A523">
        <v>1522</v>
      </c>
      <c r="B523" s="3" t="s">
        <v>139</v>
      </c>
      <c r="C523" s="1" t="s">
        <v>374</v>
      </c>
      <c r="D523" t="s">
        <v>38</v>
      </c>
      <c r="E523" t="s">
        <v>20</v>
      </c>
      <c r="F523" t="s">
        <v>28</v>
      </c>
      <c r="G523" t="s">
        <v>22</v>
      </c>
      <c r="H523" t="s">
        <v>23</v>
      </c>
      <c r="I523">
        <v>1</v>
      </c>
      <c r="J523">
        <v>2.9</v>
      </c>
      <c r="K523">
        <v>2.9</v>
      </c>
    </row>
    <row r="524" spans="1:11" x14ac:dyDescent="0.3">
      <c r="A524">
        <v>1523</v>
      </c>
      <c r="B524" s="3" t="s">
        <v>175</v>
      </c>
      <c r="C524" s="1" t="s">
        <v>111</v>
      </c>
      <c r="D524" t="s">
        <v>48</v>
      </c>
      <c r="E524" t="s">
        <v>51</v>
      </c>
      <c r="F524" t="s">
        <v>21</v>
      </c>
      <c r="G524" t="s">
        <v>70</v>
      </c>
      <c r="H524" t="s">
        <v>90</v>
      </c>
      <c r="I524">
        <v>5</v>
      </c>
      <c r="J524">
        <v>4.28</v>
      </c>
      <c r="K524">
        <v>21.4</v>
      </c>
    </row>
    <row r="525" spans="1:11" x14ac:dyDescent="0.3">
      <c r="A525">
        <v>1524</v>
      </c>
      <c r="B525" s="3" t="s">
        <v>44</v>
      </c>
      <c r="C525" s="1" t="s">
        <v>196</v>
      </c>
      <c r="D525" t="s">
        <v>42</v>
      </c>
      <c r="E525" t="s">
        <v>34</v>
      </c>
      <c r="F525" t="s">
        <v>15</v>
      </c>
      <c r="G525" t="s">
        <v>70</v>
      </c>
      <c r="H525" t="s">
        <v>90</v>
      </c>
      <c r="I525">
        <v>2</v>
      </c>
      <c r="J525">
        <v>2.5</v>
      </c>
      <c r="K525">
        <v>5</v>
      </c>
    </row>
    <row r="526" spans="1:11" x14ac:dyDescent="0.3">
      <c r="A526">
        <v>1525</v>
      </c>
      <c r="B526" s="3" t="s">
        <v>268</v>
      </c>
      <c r="C526" s="1" t="s">
        <v>360</v>
      </c>
      <c r="D526" t="s">
        <v>33</v>
      </c>
      <c r="E526" t="s">
        <v>51</v>
      </c>
      <c r="F526" t="s">
        <v>21</v>
      </c>
      <c r="G526" t="s">
        <v>29</v>
      </c>
      <c r="H526" t="s">
        <v>30</v>
      </c>
      <c r="I526">
        <v>4</v>
      </c>
      <c r="J526">
        <v>3.7</v>
      </c>
      <c r="K526">
        <v>14.8</v>
      </c>
    </row>
    <row r="527" spans="1:11" x14ac:dyDescent="0.3">
      <c r="A527">
        <v>1526</v>
      </c>
      <c r="B527" s="3" t="s">
        <v>171</v>
      </c>
      <c r="C527" s="1" t="s">
        <v>381</v>
      </c>
      <c r="D527" t="s">
        <v>13</v>
      </c>
      <c r="E527" t="s">
        <v>79</v>
      </c>
      <c r="F527" t="s">
        <v>15</v>
      </c>
      <c r="G527" t="s">
        <v>16</v>
      </c>
      <c r="H527" t="s">
        <v>76</v>
      </c>
      <c r="I527">
        <v>5</v>
      </c>
      <c r="J527">
        <v>2.74</v>
      </c>
      <c r="K527">
        <v>13.7</v>
      </c>
    </row>
    <row r="528" spans="1:11" x14ac:dyDescent="0.3">
      <c r="A528">
        <v>1527</v>
      </c>
      <c r="B528" s="3" t="s">
        <v>169</v>
      </c>
      <c r="C528" s="1" t="s">
        <v>204</v>
      </c>
      <c r="D528" t="s">
        <v>48</v>
      </c>
      <c r="E528" t="s">
        <v>20</v>
      </c>
      <c r="F528" t="s">
        <v>28</v>
      </c>
      <c r="G528" t="s">
        <v>22</v>
      </c>
      <c r="H528" t="s">
        <v>23</v>
      </c>
      <c r="I528">
        <v>3</v>
      </c>
      <c r="J528">
        <v>3.31</v>
      </c>
      <c r="K528">
        <v>9.93</v>
      </c>
    </row>
    <row r="529" spans="1:11" x14ac:dyDescent="0.3">
      <c r="A529">
        <v>1528</v>
      </c>
      <c r="B529" s="3" t="s">
        <v>72</v>
      </c>
      <c r="C529" s="1" t="s">
        <v>591</v>
      </c>
      <c r="D529" t="s">
        <v>13</v>
      </c>
      <c r="E529" t="s">
        <v>39</v>
      </c>
      <c r="F529" t="s">
        <v>21</v>
      </c>
      <c r="G529" t="s">
        <v>16</v>
      </c>
      <c r="H529" t="s">
        <v>17</v>
      </c>
      <c r="I529">
        <v>4</v>
      </c>
      <c r="J529">
        <v>3.78</v>
      </c>
      <c r="K529">
        <v>15.12</v>
      </c>
    </row>
    <row r="530" spans="1:11" x14ac:dyDescent="0.3">
      <c r="A530">
        <v>1529</v>
      </c>
      <c r="B530" s="3" t="s">
        <v>475</v>
      </c>
      <c r="C530" s="1" t="s">
        <v>592</v>
      </c>
      <c r="D530" t="s">
        <v>48</v>
      </c>
      <c r="E530" t="s">
        <v>27</v>
      </c>
      <c r="F530" t="s">
        <v>28</v>
      </c>
      <c r="G530" t="s">
        <v>22</v>
      </c>
      <c r="H530" t="s">
        <v>23</v>
      </c>
      <c r="I530">
        <v>3</v>
      </c>
      <c r="J530">
        <v>2.5499999999999998</v>
      </c>
      <c r="K530">
        <v>7.65</v>
      </c>
    </row>
    <row r="531" spans="1:11" x14ac:dyDescent="0.3">
      <c r="A531">
        <v>1530</v>
      </c>
      <c r="B531" s="3" t="s">
        <v>540</v>
      </c>
      <c r="C531" s="1" t="s">
        <v>456</v>
      </c>
      <c r="D531" t="s">
        <v>26</v>
      </c>
      <c r="E531" t="s">
        <v>34</v>
      </c>
      <c r="F531" t="s">
        <v>21</v>
      </c>
      <c r="G531" t="s">
        <v>16</v>
      </c>
      <c r="H531" t="s">
        <v>76</v>
      </c>
      <c r="I531">
        <v>1</v>
      </c>
      <c r="J531">
        <v>3.9</v>
      </c>
      <c r="K531">
        <v>3.9</v>
      </c>
    </row>
    <row r="532" spans="1:11" x14ac:dyDescent="0.3">
      <c r="A532">
        <v>1531</v>
      </c>
      <c r="B532" s="3" t="s">
        <v>62</v>
      </c>
      <c r="C532" s="1" t="s">
        <v>209</v>
      </c>
      <c r="D532" t="s">
        <v>33</v>
      </c>
      <c r="E532" t="s">
        <v>39</v>
      </c>
      <c r="F532" t="s">
        <v>15</v>
      </c>
      <c r="G532" t="s">
        <v>16</v>
      </c>
      <c r="H532" t="s">
        <v>35</v>
      </c>
      <c r="I532">
        <v>3</v>
      </c>
      <c r="J532">
        <v>5.69</v>
      </c>
      <c r="K532">
        <v>17.07</v>
      </c>
    </row>
    <row r="533" spans="1:11" x14ac:dyDescent="0.3">
      <c r="A533">
        <v>1532</v>
      </c>
      <c r="B533" s="3" t="s">
        <v>122</v>
      </c>
      <c r="C533" s="1" t="s">
        <v>593</v>
      </c>
      <c r="D533" t="s">
        <v>33</v>
      </c>
      <c r="E533" t="s">
        <v>51</v>
      </c>
      <c r="F533" t="s">
        <v>15</v>
      </c>
      <c r="G533" t="s">
        <v>16</v>
      </c>
      <c r="H533" t="s">
        <v>17</v>
      </c>
      <c r="I533">
        <v>2</v>
      </c>
      <c r="J533">
        <v>3.78</v>
      </c>
      <c r="K533">
        <v>7.56</v>
      </c>
    </row>
    <row r="534" spans="1:11" x14ac:dyDescent="0.3">
      <c r="A534">
        <v>1533</v>
      </c>
      <c r="B534" s="3" t="s">
        <v>77</v>
      </c>
      <c r="C534" s="1" t="s">
        <v>594</v>
      </c>
      <c r="D534" t="s">
        <v>38</v>
      </c>
      <c r="E534" t="s">
        <v>79</v>
      </c>
      <c r="F534" t="s">
        <v>28</v>
      </c>
      <c r="G534" t="s">
        <v>22</v>
      </c>
      <c r="H534" t="s">
        <v>23</v>
      </c>
      <c r="I534">
        <v>2</v>
      </c>
      <c r="J534">
        <v>4.46</v>
      </c>
      <c r="K534">
        <v>8.92</v>
      </c>
    </row>
    <row r="535" spans="1:11" x14ac:dyDescent="0.3">
      <c r="A535">
        <v>1534</v>
      </c>
      <c r="B535" s="3" t="s">
        <v>368</v>
      </c>
      <c r="C535" s="1" t="s">
        <v>550</v>
      </c>
      <c r="D535" t="s">
        <v>38</v>
      </c>
      <c r="E535" t="s">
        <v>27</v>
      </c>
      <c r="F535" t="s">
        <v>28</v>
      </c>
      <c r="G535" t="s">
        <v>29</v>
      </c>
      <c r="H535" t="s">
        <v>52</v>
      </c>
      <c r="I535">
        <v>1</v>
      </c>
      <c r="J535">
        <v>5.9</v>
      </c>
      <c r="K535">
        <v>5.9</v>
      </c>
    </row>
    <row r="536" spans="1:11" x14ac:dyDescent="0.3">
      <c r="A536">
        <v>1535</v>
      </c>
      <c r="B536" s="3" t="s">
        <v>487</v>
      </c>
      <c r="C536" s="1" t="s">
        <v>521</v>
      </c>
      <c r="D536" t="s">
        <v>26</v>
      </c>
      <c r="E536" t="s">
        <v>20</v>
      </c>
      <c r="F536" t="s">
        <v>21</v>
      </c>
      <c r="G536" t="s">
        <v>22</v>
      </c>
      <c r="H536" t="s">
        <v>23</v>
      </c>
      <c r="I536">
        <v>2</v>
      </c>
      <c r="J536">
        <v>3.13</v>
      </c>
      <c r="K536">
        <v>6.26</v>
      </c>
    </row>
    <row r="537" spans="1:11" x14ac:dyDescent="0.3">
      <c r="A537">
        <v>1536</v>
      </c>
      <c r="B537" s="3" t="s">
        <v>301</v>
      </c>
      <c r="C537" s="1" t="s">
        <v>134</v>
      </c>
      <c r="D537" t="s">
        <v>33</v>
      </c>
      <c r="E537" t="s">
        <v>14</v>
      </c>
      <c r="F537" t="s">
        <v>28</v>
      </c>
      <c r="G537" t="s">
        <v>70</v>
      </c>
      <c r="H537" t="s">
        <v>90</v>
      </c>
      <c r="I537">
        <v>2</v>
      </c>
      <c r="J537">
        <v>5.26</v>
      </c>
      <c r="K537">
        <v>10.52</v>
      </c>
    </row>
    <row r="538" spans="1:11" x14ac:dyDescent="0.3">
      <c r="A538">
        <v>1537</v>
      </c>
      <c r="B538" s="3" t="s">
        <v>469</v>
      </c>
      <c r="C538" s="1" t="s">
        <v>595</v>
      </c>
      <c r="D538" t="s">
        <v>33</v>
      </c>
      <c r="E538" t="s">
        <v>79</v>
      </c>
      <c r="F538" t="s">
        <v>15</v>
      </c>
      <c r="G538" t="s">
        <v>22</v>
      </c>
      <c r="H538" t="s">
        <v>23</v>
      </c>
      <c r="I538">
        <v>1</v>
      </c>
      <c r="J538">
        <v>2.72</v>
      </c>
      <c r="K538">
        <v>2.72</v>
      </c>
    </row>
    <row r="539" spans="1:11" x14ac:dyDescent="0.3">
      <c r="A539">
        <v>1538</v>
      </c>
      <c r="B539" s="3" t="s">
        <v>246</v>
      </c>
      <c r="C539" s="1" t="s">
        <v>596</v>
      </c>
      <c r="D539" t="s">
        <v>33</v>
      </c>
      <c r="E539" t="s">
        <v>39</v>
      </c>
      <c r="F539" t="s">
        <v>15</v>
      </c>
      <c r="G539" t="s">
        <v>29</v>
      </c>
      <c r="H539" t="s">
        <v>57</v>
      </c>
      <c r="I539">
        <v>3</v>
      </c>
      <c r="J539">
        <v>5.18</v>
      </c>
      <c r="K539">
        <v>15.54</v>
      </c>
    </row>
    <row r="540" spans="1:11" x14ac:dyDescent="0.3">
      <c r="A540">
        <v>1539</v>
      </c>
      <c r="B540" s="3" t="s">
        <v>328</v>
      </c>
      <c r="C540" s="1" t="s">
        <v>597</v>
      </c>
      <c r="D540" t="s">
        <v>26</v>
      </c>
      <c r="E540" t="s">
        <v>34</v>
      </c>
      <c r="F540" t="s">
        <v>28</v>
      </c>
      <c r="G540" t="s">
        <v>16</v>
      </c>
      <c r="H540" t="s">
        <v>76</v>
      </c>
      <c r="I540">
        <v>5</v>
      </c>
      <c r="J540">
        <v>5.36</v>
      </c>
      <c r="K540">
        <v>26.8</v>
      </c>
    </row>
    <row r="541" spans="1:11" x14ac:dyDescent="0.3">
      <c r="A541">
        <v>1540</v>
      </c>
      <c r="B541" s="3" t="s">
        <v>120</v>
      </c>
      <c r="C541" s="1" t="s">
        <v>342</v>
      </c>
      <c r="D541" t="s">
        <v>33</v>
      </c>
      <c r="E541" t="s">
        <v>20</v>
      </c>
      <c r="F541" t="s">
        <v>21</v>
      </c>
      <c r="G541" t="s">
        <v>29</v>
      </c>
      <c r="H541" t="s">
        <v>52</v>
      </c>
      <c r="I541">
        <v>4</v>
      </c>
      <c r="J541">
        <v>2.69</v>
      </c>
      <c r="K541">
        <v>10.76</v>
      </c>
    </row>
    <row r="542" spans="1:11" x14ac:dyDescent="0.3">
      <c r="A542">
        <v>1541</v>
      </c>
      <c r="B542" s="3" t="s">
        <v>201</v>
      </c>
      <c r="C542" s="1" t="s">
        <v>385</v>
      </c>
      <c r="D542" t="s">
        <v>48</v>
      </c>
      <c r="E542" t="s">
        <v>14</v>
      </c>
      <c r="F542" t="s">
        <v>15</v>
      </c>
      <c r="G542" t="s">
        <v>22</v>
      </c>
      <c r="H542" t="s">
        <v>23</v>
      </c>
      <c r="I542">
        <v>5</v>
      </c>
      <c r="J542">
        <v>2.83</v>
      </c>
      <c r="K542">
        <v>14.15</v>
      </c>
    </row>
    <row r="543" spans="1:11" x14ac:dyDescent="0.3">
      <c r="A543">
        <v>1542</v>
      </c>
      <c r="B543" s="3" t="s">
        <v>598</v>
      </c>
      <c r="C543" s="1" t="s">
        <v>599</v>
      </c>
      <c r="D543" t="s">
        <v>42</v>
      </c>
      <c r="E543" t="s">
        <v>20</v>
      </c>
      <c r="F543" t="s">
        <v>28</v>
      </c>
      <c r="G543" t="s">
        <v>22</v>
      </c>
      <c r="H543" t="s">
        <v>23</v>
      </c>
      <c r="I543">
        <v>3</v>
      </c>
      <c r="J543">
        <v>6</v>
      </c>
      <c r="K543">
        <v>18</v>
      </c>
    </row>
    <row r="544" spans="1:11" x14ac:dyDescent="0.3">
      <c r="A544">
        <v>1543</v>
      </c>
      <c r="B544" s="3" t="s">
        <v>340</v>
      </c>
      <c r="C544" s="1" t="s">
        <v>379</v>
      </c>
      <c r="D544" t="s">
        <v>26</v>
      </c>
      <c r="E544" t="s">
        <v>39</v>
      </c>
      <c r="F544" t="s">
        <v>21</v>
      </c>
      <c r="G544" t="s">
        <v>16</v>
      </c>
      <c r="H544" t="s">
        <v>17</v>
      </c>
      <c r="I544">
        <v>1</v>
      </c>
      <c r="J544">
        <v>3.44</v>
      </c>
      <c r="K544">
        <v>3.44</v>
      </c>
    </row>
    <row r="545" spans="1:11" x14ac:dyDescent="0.3">
      <c r="A545">
        <v>1544</v>
      </c>
      <c r="B545" s="3" t="s">
        <v>82</v>
      </c>
      <c r="C545" s="1" t="s">
        <v>600</v>
      </c>
      <c r="D545" t="s">
        <v>48</v>
      </c>
      <c r="E545" t="s">
        <v>20</v>
      </c>
      <c r="F545" t="s">
        <v>21</v>
      </c>
      <c r="G545" t="s">
        <v>22</v>
      </c>
      <c r="H545" t="s">
        <v>23</v>
      </c>
      <c r="I545">
        <v>2</v>
      </c>
      <c r="J545">
        <v>2.4</v>
      </c>
      <c r="K545">
        <v>4.8</v>
      </c>
    </row>
    <row r="546" spans="1:11" x14ac:dyDescent="0.3">
      <c r="A546">
        <v>1545</v>
      </c>
      <c r="B546" s="3" t="s">
        <v>387</v>
      </c>
      <c r="C546" s="1" t="s">
        <v>601</v>
      </c>
      <c r="D546" t="s">
        <v>38</v>
      </c>
      <c r="E546" t="s">
        <v>20</v>
      </c>
      <c r="F546" t="s">
        <v>21</v>
      </c>
      <c r="G546" t="s">
        <v>16</v>
      </c>
      <c r="H546" t="s">
        <v>17</v>
      </c>
      <c r="I546">
        <v>1</v>
      </c>
      <c r="J546">
        <v>5.79</v>
      </c>
      <c r="K546">
        <v>5.79</v>
      </c>
    </row>
    <row r="547" spans="1:11" x14ac:dyDescent="0.3">
      <c r="A547">
        <v>1546</v>
      </c>
      <c r="B547" s="3" t="s">
        <v>346</v>
      </c>
      <c r="C547" s="1" t="s">
        <v>602</v>
      </c>
      <c r="D547" t="s">
        <v>48</v>
      </c>
      <c r="E547" t="s">
        <v>51</v>
      </c>
      <c r="F547" t="s">
        <v>15</v>
      </c>
      <c r="G547" t="s">
        <v>29</v>
      </c>
      <c r="H547" t="s">
        <v>43</v>
      </c>
      <c r="I547">
        <v>3</v>
      </c>
      <c r="J547">
        <v>3.57</v>
      </c>
      <c r="K547">
        <v>10.71</v>
      </c>
    </row>
    <row r="548" spans="1:11" x14ac:dyDescent="0.3">
      <c r="A548">
        <v>1547</v>
      </c>
      <c r="B548" s="3" t="s">
        <v>375</v>
      </c>
      <c r="C548" s="1" t="s">
        <v>603</v>
      </c>
      <c r="D548" t="s">
        <v>42</v>
      </c>
      <c r="E548" t="s">
        <v>20</v>
      </c>
      <c r="F548" t="s">
        <v>15</v>
      </c>
      <c r="G548" t="s">
        <v>29</v>
      </c>
      <c r="H548" t="s">
        <v>30</v>
      </c>
      <c r="I548">
        <v>3</v>
      </c>
      <c r="J548">
        <v>3.71</v>
      </c>
      <c r="K548">
        <v>11.13</v>
      </c>
    </row>
    <row r="549" spans="1:11" x14ac:dyDescent="0.3">
      <c r="A549">
        <v>1548</v>
      </c>
      <c r="B549" s="3" t="s">
        <v>74</v>
      </c>
      <c r="C549" s="1" t="s">
        <v>604</v>
      </c>
      <c r="D549" t="s">
        <v>33</v>
      </c>
      <c r="E549" t="s">
        <v>27</v>
      </c>
      <c r="F549" t="s">
        <v>15</v>
      </c>
      <c r="G549" t="s">
        <v>29</v>
      </c>
      <c r="H549" t="s">
        <v>30</v>
      </c>
      <c r="I549">
        <v>4</v>
      </c>
      <c r="J549">
        <v>3.29</v>
      </c>
      <c r="K549">
        <v>13.16</v>
      </c>
    </row>
    <row r="550" spans="1:11" x14ac:dyDescent="0.3">
      <c r="A550">
        <v>1549</v>
      </c>
      <c r="B550" s="3" t="s">
        <v>480</v>
      </c>
      <c r="C550" s="1" t="s">
        <v>446</v>
      </c>
      <c r="D550" t="s">
        <v>13</v>
      </c>
      <c r="E550" t="s">
        <v>14</v>
      </c>
      <c r="F550" t="s">
        <v>28</v>
      </c>
      <c r="G550" t="s">
        <v>16</v>
      </c>
      <c r="H550" t="s">
        <v>17</v>
      </c>
      <c r="I550">
        <v>1</v>
      </c>
      <c r="J550">
        <v>3.8</v>
      </c>
      <c r="K550">
        <v>3.8</v>
      </c>
    </row>
    <row r="551" spans="1:11" x14ac:dyDescent="0.3">
      <c r="A551">
        <v>1550</v>
      </c>
      <c r="B551" s="3" t="s">
        <v>171</v>
      </c>
      <c r="C551" s="1" t="s">
        <v>457</v>
      </c>
      <c r="D551" t="s">
        <v>13</v>
      </c>
      <c r="E551" t="s">
        <v>79</v>
      </c>
      <c r="F551" t="s">
        <v>15</v>
      </c>
      <c r="G551" t="s">
        <v>16</v>
      </c>
      <c r="H551" t="s">
        <v>35</v>
      </c>
      <c r="I551">
        <v>5</v>
      </c>
      <c r="J551">
        <v>3.2</v>
      </c>
      <c r="K551">
        <v>16</v>
      </c>
    </row>
    <row r="552" spans="1:11" x14ac:dyDescent="0.3">
      <c r="A552">
        <v>1551</v>
      </c>
      <c r="B552" s="3" t="s">
        <v>80</v>
      </c>
      <c r="C552" s="1" t="s">
        <v>373</v>
      </c>
      <c r="D552" t="s">
        <v>42</v>
      </c>
      <c r="E552" t="s">
        <v>34</v>
      </c>
      <c r="F552" t="s">
        <v>15</v>
      </c>
      <c r="G552" t="s">
        <v>22</v>
      </c>
      <c r="H552" t="s">
        <v>23</v>
      </c>
      <c r="I552">
        <v>1</v>
      </c>
      <c r="J552">
        <v>4</v>
      </c>
      <c r="K552">
        <v>4</v>
      </c>
    </row>
    <row r="553" spans="1:11" x14ac:dyDescent="0.3">
      <c r="A553">
        <v>1552</v>
      </c>
      <c r="B553" s="3" t="s">
        <v>211</v>
      </c>
      <c r="C553" s="1" t="s">
        <v>605</v>
      </c>
      <c r="D553" t="s">
        <v>42</v>
      </c>
      <c r="E553" t="s">
        <v>27</v>
      </c>
      <c r="F553" t="s">
        <v>15</v>
      </c>
      <c r="G553" t="s">
        <v>22</v>
      </c>
      <c r="H553" t="s">
        <v>23</v>
      </c>
      <c r="I553">
        <v>1</v>
      </c>
      <c r="J553">
        <v>4.26</v>
      </c>
      <c r="K553">
        <v>4.26</v>
      </c>
    </row>
    <row r="554" spans="1:11" x14ac:dyDescent="0.3">
      <c r="A554">
        <v>1553</v>
      </c>
      <c r="B554" s="3" t="s">
        <v>199</v>
      </c>
      <c r="C554" s="1" t="s">
        <v>324</v>
      </c>
      <c r="D554" t="s">
        <v>13</v>
      </c>
      <c r="E554" t="s">
        <v>79</v>
      </c>
      <c r="F554" t="s">
        <v>28</v>
      </c>
      <c r="G554" t="s">
        <v>70</v>
      </c>
      <c r="H554" t="s">
        <v>95</v>
      </c>
      <c r="I554">
        <v>4</v>
      </c>
      <c r="J554">
        <v>5.73</v>
      </c>
      <c r="K554">
        <v>22.92</v>
      </c>
    </row>
    <row r="555" spans="1:11" x14ac:dyDescent="0.3">
      <c r="A555">
        <v>1554</v>
      </c>
      <c r="B555" s="3" t="s">
        <v>66</v>
      </c>
      <c r="C555" s="1" t="s">
        <v>606</v>
      </c>
      <c r="D555" t="s">
        <v>42</v>
      </c>
      <c r="E555" t="s">
        <v>39</v>
      </c>
      <c r="F555" t="s">
        <v>28</v>
      </c>
      <c r="G555" t="s">
        <v>16</v>
      </c>
      <c r="H555" t="s">
        <v>35</v>
      </c>
      <c r="I555">
        <v>2</v>
      </c>
      <c r="J555">
        <v>4.22</v>
      </c>
      <c r="K555">
        <v>8.44</v>
      </c>
    </row>
    <row r="556" spans="1:11" x14ac:dyDescent="0.3">
      <c r="A556">
        <v>1555</v>
      </c>
      <c r="B556" s="3" t="s">
        <v>545</v>
      </c>
      <c r="C556" s="1" t="s">
        <v>606</v>
      </c>
      <c r="D556" t="s">
        <v>13</v>
      </c>
      <c r="E556" t="s">
        <v>14</v>
      </c>
      <c r="F556" t="s">
        <v>15</v>
      </c>
      <c r="G556" t="s">
        <v>29</v>
      </c>
      <c r="H556" t="s">
        <v>52</v>
      </c>
      <c r="I556">
        <v>3</v>
      </c>
      <c r="J556">
        <v>4.08</v>
      </c>
      <c r="K556">
        <v>12.24</v>
      </c>
    </row>
    <row r="557" spans="1:11" x14ac:dyDescent="0.3">
      <c r="A557">
        <v>1556</v>
      </c>
      <c r="B557" s="3" t="s">
        <v>422</v>
      </c>
      <c r="C557" s="1" t="s">
        <v>527</v>
      </c>
      <c r="D557" t="s">
        <v>13</v>
      </c>
      <c r="E557" t="s">
        <v>51</v>
      </c>
      <c r="F557" t="s">
        <v>28</v>
      </c>
      <c r="G557" t="s">
        <v>70</v>
      </c>
      <c r="H557" t="s">
        <v>90</v>
      </c>
      <c r="I557">
        <v>5</v>
      </c>
      <c r="J557">
        <v>3.06</v>
      </c>
      <c r="K557">
        <v>15.3</v>
      </c>
    </row>
    <row r="558" spans="1:11" x14ac:dyDescent="0.3">
      <c r="A558">
        <v>1557</v>
      </c>
      <c r="B558" s="3" t="s">
        <v>185</v>
      </c>
      <c r="C558" s="1" t="s">
        <v>140</v>
      </c>
      <c r="D558" t="s">
        <v>13</v>
      </c>
      <c r="E558" t="s">
        <v>39</v>
      </c>
      <c r="F558" t="s">
        <v>15</v>
      </c>
      <c r="G558" t="s">
        <v>16</v>
      </c>
      <c r="H558" t="s">
        <v>17</v>
      </c>
      <c r="I558">
        <v>2</v>
      </c>
      <c r="J558">
        <v>2.85</v>
      </c>
      <c r="K558">
        <v>5.7</v>
      </c>
    </row>
    <row r="559" spans="1:11" x14ac:dyDescent="0.3">
      <c r="A559">
        <v>1558</v>
      </c>
      <c r="B559" s="3" t="s">
        <v>135</v>
      </c>
      <c r="C559" s="1" t="s">
        <v>607</v>
      </c>
      <c r="D559" t="s">
        <v>26</v>
      </c>
      <c r="E559" t="s">
        <v>79</v>
      </c>
      <c r="F559" t="s">
        <v>15</v>
      </c>
      <c r="G559" t="s">
        <v>70</v>
      </c>
      <c r="H559" t="s">
        <v>71</v>
      </c>
      <c r="I559">
        <v>5</v>
      </c>
      <c r="J559">
        <v>5.07</v>
      </c>
      <c r="K559">
        <v>25.35</v>
      </c>
    </row>
    <row r="560" spans="1:11" x14ac:dyDescent="0.3">
      <c r="A560">
        <v>1559</v>
      </c>
      <c r="B560" s="3" t="s">
        <v>608</v>
      </c>
      <c r="C560" s="1" t="s">
        <v>609</v>
      </c>
      <c r="D560" t="s">
        <v>33</v>
      </c>
      <c r="E560" t="s">
        <v>51</v>
      </c>
      <c r="F560" t="s">
        <v>15</v>
      </c>
      <c r="G560" t="s">
        <v>22</v>
      </c>
      <c r="H560" t="s">
        <v>23</v>
      </c>
      <c r="I560">
        <v>1</v>
      </c>
      <c r="J560">
        <v>4.53</v>
      </c>
      <c r="K560">
        <v>4.53</v>
      </c>
    </row>
    <row r="561" spans="1:11" x14ac:dyDescent="0.3">
      <c r="A561">
        <v>1560</v>
      </c>
      <c r="B561" s="3" t="s">
        <v>55</v>
      </c>
      <c r="C561" s="1" t="s">
        <v>610</v>
      </c>
      <c r="D561" t="s">
        <v>38</v>
      </c>
      <c r="E561" t="s">
        <v>20</v>
      </c>
      <c r="F561" t="s">
        <v>28</v>
      </c>
      <c r="G561" t="s">
        <v>16</v>
      </c>
      <c r="H561" t="s">
        <v>76</v>
      </c>
      <c r="I561">
        <v>5</v>
      </c>
      <c r="J561">
        <v>5.09</v>
      </c>
      <c r="K561">
        <v>25.45</v>
      </c>
    </row>
    <row r="562" spans="1:11" x14ac:dyDescent="0.3">
      <c r="A562">
        <v>1561</v>
      </c>
      <c r="B562" s="3" t="s">
        <v>480</v>
      </c>
      <c r="C562" s="1" t="s">
        <v>611</v>
      </c>
      <c r="D562" t="s">
        <v>13</v>
      </c>
      <c r="E562" t="s">
        <v>14</v>
      </c>
      <c r="F562" t="s">
        <v>28</v>
      </c>
      <c r="G562" t="s">
        <v>16</v>
      </c>
      <c r="H562" t="s">
        <v>17</v>
      </c>
      <c r="I562">
        <v>2</v>
      </c>
      <c r="J562">
        <v>4.6900000000000004</v>
      </c>
      <c r="K562">
        <v>9.3800000000000008</v>
      </c>
    </row>
    <row r="563" spans="1:11" x14ac:dyDescent="0.3">
      <c r="A563">
        <v>1562</v>
      </c>
      <c r="B563" s="3" t="s">
        <v>24</v>
      </c>
      <c r="C563" s="1" t="s">
        <v>612</v>
      </c>
      <c r="D563" t="s">
        <v>26</v>
      </c>
      <c r="E563" t="s">
        <v>27</v>
      </c>
      <c r="F563" t="s">
        <v>21</v>
      </c>
      <c r="G563" t="s">
        <v>70</v>
      </c>
      <c r="H563" t="s">
        <v>95</v>
      </c>
      <c r="I563">
        <v>4</v>
      </c>
      <c r="J563">
        <v>2.5099999999999998</v>
      </c>
      <c r="K563">
        <v>10.039999999999999</v>
      </c>
    </row>
    <row r="564" spans="1:11" x14ac:dyDescent="0.3">
      <c r="A564">
        <v>1563</v>
      </c>
      <c r="B564" s="3" t="s">
        <v>215</v>
      </c>
      <c r="C564" s="1" t="s">
        <v>56</v>
      </c>
      <c r="D564" t="s">
        <v>38</v>
      </c>
      <c r="E564" t="s">
        <v>20</v>
      </c>
      <c r="F564" t="s">
        <v>28</v>
      </c>
      <c r="G564" t="s">
        <v>29</v>
      </c>
      <c r="H564" t="s">
        <v>57</v>
      </c>
      <c r="I564">
        <v>1</v>
      </c>
      <c r="J564">
        <v>2.98</v>
      </c>
      <c r="K564">
        <v>2.98</v>
      </c>
    </row>
    <row r="565" spans="1:11" x14ac:dyDescent="0.3">
      <c r="A565">
        <v>1564</v>
      </c>
      <c r="B565" s="3" t="s">
        <v>66</v>
      </c>
      <c r="C565" s="1" t="s">
        <v>457</v>
      </c>
      <c r="D565" t="s">
        <v>42</v>
      </c>
      <c r="E565" t="s">
        <v>39</v>
      </c>
      <c r="F565" t="s">
        <v>28</v>
      </c>
      <c r="G565" t="s">
        <v>70</v>
      </c>
      <c r="H565" t="s">
        <v>90</v>
      </c>
      <c r="I565">
        <v>2</v>
      </c>
      <c r="J565">
        <v>2.48</v>
      </c>
      <c r="K565">
        <v>4.96</v>
      </c>
    </row>
    <row r="566" spans="1:11" x14ac:dyDescent="0.3">
      <c r="A566">
        <v>1565</v>
      </c>
      <c r="B566" s="3" t="s">
        <v>305</v>
      </c>
      <c r="C566" s="1" t="s">
        <v>154</v>
      </c>
      <c r="D566" t="s">
        <v>48</v>
      </c>
      <c r="E566" t="s">
        <v>34</v>
      </c>
      <c r="F566" t="s">
        <v>15</v>
      </c>
      <c r="G566" t="s">
        <v>70</v>
      </c>
      <c r="H566" t="s">
        <v>71</v>
      </c>
      <c r="I566">
        <v>5</v>
      </c>
      <c r="J566">
        <v>2.65</v>
      </c>
      <c r="K566">
        <v>13.25</v>
      </c>
    </row>
    <row r="567" spans="1:11" x14ac:dyDescent="0.3">
      <c r="A567">
        <v>1566</v>
      </c>
      <c r="B567" s="3" t="s">
        <v>248</v>
      </c>
      <c r="C567" s="1" t="s">
        <v>382</v>
      </c>
      <c r="D567" t="s">
        <v>48</v>
      </c>
      <c r="E567" t="s">
        <v>79</v>
      </c>
      <c r="F567" t="s">
        <v>15</v>
      </c>
      <c r="G567" t="s">
        <v>70</v>
      </c>
      <c r="H567" t="s">
        <v>90</v>
      </c>
      <c r="I567">
        <v>2</v>
      </c>
      <c r="J567">
        <v>2.4300000000000002</v>
      </c>
      <c r="K567">
        <v>4.8600000000000003</v>
      </c>
    </row>
    <row r="568" spans="1:11" x14ac:dyDescent="0.3">
      <c r="A568">
        <v>1567</v>
      </c>
      <c r="B568" s="3" t="s">
        <v>469</v>
      </c>
      <c r="C568" s="1" t="s">
        <v>613</v>
      </c>
      <c r="D568" t="s">
        <v>33</v>
      </c>
      <c r="E568" t="s">
        <v>79</v>
      </c>
      <c r="F568" t="s">
        <v>15</v>
      </c>
      <c r="G568" t="s">
        <v>29</v>
      </c>
      <c r="H568" t="s">
        <v>52</v>
      </c>
      <c r="I568">
        <v>1</v>
      </c>
      <c r="J568">
        <v>5.19</v>
      </c>
      <c r="K568">
        <v>5.19</v>
      </c>
    </row>
    <row r="569" spans="1:11" x14ac:dyDescent="0.3">
      <c r="A569">
        <v>1568</v>
      </c>
      <c r="B569" s="3" t="s">
        <v>295</v>
      </c>
      <c r="C569" s="1" t="s">
        <v>614</v>
      </c>
      <c r="D569" t="s">
        <v>13</v>
      </c>
      <c r="E569" t="s">
        <v>20</v>
      </c>
      <c r="F569" t="s">
        <v>28</v>
      </c>
      <c r="G569" t="s">
        <v>22</v>
      </c>
      <c r="H569" t="s">
        <v>23</v>
      </c>
      <c r="I569">
        <v>2</v>
      </c>
      <c r="J569">
        <v>5.08</v>
      </c>
      <c r="K569">
        <v>10.16</v>
      </c>
    </row>
    <row r="570" spans="1:11" x14ac:dyDescent="0.3">
      <c r="A570">
        <v>1569</v>
      </c>
      <c r="B570" s="3" t="s">
        <v>66</v>
      </c>
      <c r="C570" s="1" t="s">
        <v>615</v>
      </c>
      <c r="D570" t="s">
        <v>42</v>
      </c>
      <c r="E570" t="s">
        <v>39</v>
      </c>
      <c r="F570" t="s">
        <v>21</v>
      </c>
      <c r="G570" t="s">
        <v>22</v>
      </c>
      <c r="H570" t="s">
        <v>23</v>
      </c>
      <c r="I570">
        <v>3</v>
      </c>
      <c r="J570">
        <v>4.55</v>
      </c>
      <c r="K570">
        <v>13.65</v>
      </c>
    </row>
    <row r="571" spans="1:11" x14ac:dyDescent="0.3">
      <c r="A571">
        <v>1570</v>
      </c>
      <c r="B571" s="3" t="s">
        <v>301</v>
      </c>
      <c r="C571" s="1" t="s">
        <v>271</v>
      </c>
      <c r="D571" t="s">
        <v>33</v>
      </c>
      <c r="E571" t="s">
        <v>14</v>
      </c>
      <c r="F571" t="s">
        <v>28</v>
      </c>
      <c r="G571" t="s">
        <v>29</v>
      </c>
      <c r="H571" t="s">
        <v>52</v>
      </c>
      <c r="I571">
        <v>5</v>
      </c>
      <c r="J571">
        <v>5.21</v>
      </c>
      <c r="K571">
        <v>26.05</v>
      </c>
    </row>
    <row r="572" spans="1:11" x14ac:dyDescent="0.3">
      <c r="A572">
        <v>1571</v>
      </c>
      <c r="B572" s="3" t="s">
        <v>303</v>
      </c>
      <c r="C572" s="1" t="s">
        <v>513</v>
      </c>
      <c r="D572" t="s">
        <v>26</v>
      </c>
      <c r="E572" t="s">
        <v>14</v>
      </c>
      <c r="F572" t="s">
        <v>28</v>
      </c>
      <c r="G572" t="s">
        <v>22</v>
      </c>
      <c r="H572" t="s">
        <v>23</v>
      </c>
      <c r="I572">
        <v>2</v>
      </c>
      <c r="J572">
        <v>5.43</v>
      </c>
      <c r="K572">
        <v>10.86</v>
      </c>
    </row>
    <row r="573" spans="1:11" x14ac:dyDescent="0.3">
      <c r="A573">
        <v>1572</v>
      </c>
      <c r="B573" s="3" t="s">
        <v>525</v>
      </c>
      <c r="C573" s="1" t="s">
        <v>41</v>
      </c>
      <c r="D573" t="s">
        <v>33</v>
      </c>
      <c r="E573" t="s">
        <v>34</v>
      </c>
      <c r="F573" t="s">
        <v>28</v>
      </c>
      <c r="G573" t="s">
        <v>16</v>
      </c>
      <c r="H573" t="s">
        <v>17</v>
      </c>
      <c r="I573">
        <v>3</v>
      </c>
      <c r="J573">
        <v>5.7</v>
      </c>
      <c r="K573">
        <v>17.100000000000001</v>
      </c>
    </row>
    <row r="574" spans="1:11" x14ac:dyDescent="0.3">
      <c r="A574">
        <v>1573</v>
      </c>
      <c r="B574" s="3" t="s">
        <v>203</v>
      </c>
      <c r="C574" s="1" t="s">
        <v>381</v>
      </c>
      <c r="D574" t="s">
        <v>42</v>
      </c>
      <c r="E574" t="s">
        <v>51</v>
      </c>
      <c r="F574" t="s">
        <v>15</v>
      </c>
      <c r="G574" t="s">
        <v>16</v>
      </c>
      <c r="H574" t="s">
        <v>76</v>
      </c>
      <c r="I574">
        <v>3</v>
      </c>
      <c r="J574">
        <v>2.25</v>
      </c>
      <c r="K574">
        <v>6.75</v>
      </c>
    </row>
    <row r="575" spans="1:11" x14ac:dyDescent="0.3">
      <c r="A575">
        <v>1574</v>
      </c>
      <c r="B575" s="3" t="s">
        <v>270</v>
      </c>
      <c r="C575" s="1" t="s">
        <v>580</v>
      </c>
      <c r="D575" t="s">
        <v>33</v>
      </c>
      <c r="E575" t="s">
        <v>34</v>
      </c>
      <c r="F575" t="s">
        <v>21</v>
      </c>
      <c r="G575" t="s">
        <v>16</v>
      </c>
      <c r="H575" t="s">
        <v>17</v>
      </c>
      <c r="I575">
        <v>4</v>
      </c>
      <c r="J575">
        <v>3.3</v>
      </c>
      <c r="K575">
        <v>13.2</v>
      </c>
    </row>
    <row r="576" spans="1:11" x14ac:dyDescent="0.3">
      <c r="A576">
        <v>1575</v>
      </c>
      <c r="B576" s="3" t="s">
        <v>238</v>
      </c>
      <c r="C576" s="1" t="s">
        <v>616</v>
      </c>
      <c r="D576" t="s">
        <v>38</v>
      </c>
      <c r="E576" t="s">
        <v>34</v>
      </c>
      <c r="F576" t="s">
        <v>21</v>
      </c>
      <c r="G576" t="s">
        <v>70</v>
      </c>
      <c r="H576" t="s">
        <v>90</v>
      </c>
      <c r="I576">
        <v>3</v>
      </c>
      <c r="J576">
        <v>5.62</v>
      </c>
      <c r="K576">
        <v>16.86</v>
      </c>
    </row>
    <row r="577" spans="1:11" x14ac:dyDescent="0.3">
      <c r="A577">
        <v>1576</v>
      </c>
      <c r="B577" s="3" t="s">
        <v>465</v>
      </c>
      <c r="C577" s="1" t="s">
        <v>617</v>
      </c>
      <c r="D577" t="s">
        <v>42</v>
      </c>
      <c r="E577" t="s">
        <v>51</v>
      </c>
      <c r="F577" t="s">
        <v>15</v>
      </c>
      <c r="G577" t="s">
        <v>22</v>
      </c>
      <c r="H577" t="s">
        <v>23</v>
      </c>
      <c r="I577">
        <v>2</v>
      </c>
      <c r="J577">
        <v>3.8</v>
      </c>
      <c r="K577">
        <v>7.6</v>
      </c>
    </row>
    <row r="578" spans="1:11" x14ac:dyDescent="0.3">
      <c r="A578">
        <v>1577</v>
      </c>
      <c r="B578" s="3" t="s">
        <v>353</v>
      </c>
      <c r="C578" s="1" t="s">
        <v>618</v>
      </c>
      <c r="D578" t="s">
        <v>42</v>
      </c>
      <c r="E578" t="s">
        <v>27</v>
      </c>
      <c r="F578" t="s">
        <v>28</v>
      </c>
      <c r="G578" t="s">
        <v>29</v>
      </c>
      <c r="H578" t="s">
        <v>30</v>
      </c>
      <c r="I578">
        <v>5</v>
      </c>
      <c r="J578">
        <v>3.94</v>
      </c>
      <c r="K578">
        <v>19.7</v>
      </c>
    </row>
    <row r="579" spans="1:11" x14ac:dyDescent="0.3">
      <c r="A579">
        <v>1578</v>
      </c>
      <c r="B579" s="3" t="s">
        <v>560</v>
      </c>
      <c r="C579" s="1" t="s">
        <v>354</v>
      </c>
      <c r="D579" t="s">
        <v>48</v>
      </c>
      <c r="E579" t="s">
        <v>27</v>
      </c>
      <c r="F579" t="s">
        <v>28</v>
      </c>
      <c r="G579" t="s">
        <v>22</v>
      </c>
      <c r="H579" t="s">
        <v>23</v>
      </c>
      <c r="I579">
        <v>3</v>
      </c>
      <c r="J579">
        <v>4.95</v>
      </c>
      <c r="K579">
        <v>14.85</v>
      </c>
    </row>
    <row r="580" spans="1:11" x14ac:dyDescent="0.3">
      <c r="A580">
        <v>1579</v>
      </c>
      <c r="B580" s="3" t="s">
        <v>66</v>
      </c>
      <c r="C580" s="1" t="s">
        <v>599</v>
      </c>
      <c r="D580" t="s">
        <v>42</v>
      </c>
      <c r="E580" t="s">
        <v>39</v>
      </c>
      <c r="F580" t="s">
        <v>15</v>
      </c>
      <c r="G580" t="s">
        <v>70</v>
      </c>
      <c r="H580" t="s">
        <v>95</v>
      </c>
      <c r="I580">
        <v>3</v>
      </c>
      <c r="J580">
        <v>3.89</v>
      </c>
      <c r="K580">
        <v>11.67</v>
      </c>
    </row>
    <row r="581" spans="1:11" x14ac:dyDescent="0.3">
      <c r="A581">
        <v>1580</v>
      </c>
      <c r="B581" s="3" t="s">
        <v>619</v>
      </c>
      <c r="C581" s="1" t="s">
        <v>335</v>
      </c>
      <c r="D581" t="s">
        <v>38</v>
      </c>
      <c r="E581" t="s">
        <v>34</v>
      </c>
      <c r="F581" t="s">
        <v>21</v>
      </c>
      <c r="G581" t="s">
        <v>16</v>
      </c>
      <c r="H581" t="s">
        <v>17</v>
      </c>
      <c r="I581">
        <v>1</v>
      </c>
      <c r="J581">
        <v>3.22</v>
      </c>
      <c r="K581">
        <v>3.22</v>
      </c>
    </row>
    <row r="582" spans="1:11" x14ac:dyDescent="0.3">
      <c r="A582">
        <v>1581</v>
      </c>
      <c r="B582" s="3" t="s">
        <v>137</v>
      </c>
      <c r="C582" s="1" t="s">
        <v>392</v>
      </c>
      <c r="D582" t="s">
        <v>33</v>
      </c>
      <c r="E582" t="s">
        <v>51</v>
      </c>
      <c r="F582" t="s">
        <v>21</v>
      </c>
      <c r="G582" t="s">
        <v>29</v>
      </c>
      <c r="H582" t="s">
        <v>57</v>
      </c>
      <c r="I582">
        <v>1</v>
      </c>
      <c r="J582">
        <v>3.73</v>
      </c>
      <c r="K582">
        <v>3.73</v>
      </c>
    </row>
    <row r="583" spans="1:11" x14ac:dyDescent="0.3">
      <c r="A583">
        <v>1582</v>
      </c>
      <c r="B583" s="3" t="s">
        <v>110</v>
      </c>
      <c r="C583" s="1" t="s">
        <v>620</v>
      </c>
      <c r="D583" t="s">
        <v>26</v>
      </c>
      <c r="E583" t="s">
        <v>51</v>
      </c>
      <c r="F583" t="s">
        <v>21</v>
      </c>
      <c r="G583" t="s">
        <v>22</v>
      </c>
      <c r="H583" t="s">
        <v>23</v>
      </c>
      <c r="I583">
        <v>2</v>
      </c>
      <c r="J583">
        <v>3.66</v>
      </c>
      <c r="K583">
        <v>7.32</v>
      </c>
    </row>
    <row r="584" spans="1:11" x14ac:dyDescent="0.3">
      <c r="A584">
        <v>1583</v>
      </c>
      <c r="B584" s="3" t="s">
        <v>181</v>
      </c>
      <c r="C584" s="1" t="s">
        <v>621</v>
      </c>
      <c r="D584" t="s">
        <v>26</v>
      </c>
      <c r="E584" t="s">
        <v>20</v>
      </c>
      <c r="F584" t="s">
        <v>15</v>
      </c>
      <c r="G584" t="s">
        <v>16</v>
      </c>
      <c r="H584" t="s">
        <v>35</v>
      </c>
      <c r="I584">
        <v>2</v>
      </c>
      <c r="J584">
        <v>2.09</v>
      </c>
      <c r="K584">
        <v>4.18</v>
      </c>
    </row>
    <row r="585" spans="1:11" x14ac:dyDescent="0.3">
      <c r="A585">
        <v>1584</v>
      </c>
      <c r="B585" s="3" t="s">
        <v>11</v>
      </c>
      <c r="C585" s="1" t="s">
        <v>298</v>
      </c>
      <c r="D585" t="s">
        <v>13</v>
      </c>
      <c r="E585" t="s">
        <v>14</v>
      </c>
      <c r="F585" t="s">
        <v>21</v>
      </c>
      <c r="G585" t="s">
        <v>16</v>
      </c>
      <c r="H585" t="s">
        <v>76</v>
      </c>
      <c r="I585">
        <v>5</v>
      </c>
      <c r="J585">
        <v>5.67</v>
      </c>
      <c r="K585">
        <v>28.35</v>
      </c>
    </row>
    <row r="586" spans="1:11" x14ac:dyDescent="0.3">
      <c r="A586">
        <v>1585</v>
      </c>
      <c r="B586" s="3" t="s">
        <v>274</v>
      </c>
      <c r="C586" s="1" t="s">
        <v>73</v>
      </c>
      <c r="D586" t="s">
        <v>42</v>
      </c>
      <c r="E586" t="s">
        <v>20</v>
      </c>
      <c r="F586" t="s">
        <v>21</v>
      </c>
      <c r="G586" t="s">
        <v>70</v>
      </c>
      <c r="H586" t="s">
        <v>71</v>
      </c>
      <c r="I586">
        <v>1</v>
      </c>
      <c r="J586">
        <v>2.87</v>
      </c>
      <c r="K586">
        <v>2.87</v>
      </c>
    </row>
    <row r="587" spans="1:11" x14ac:dyDescent="0.3">
      <c r="A587">
        <v>1586</v>
      </c>
      <c r="B587" s="3" t="s">
        <v>130</v>
      </c>
      <c r="C587" s="1" t="s">
        <v>107</v>
      </c>
      <c r="D587" t="s">
        <v>26</v>
      </c>
      <c r="E587" t="s">
        <v>20</v>
      </c>
      <c r="F587" t="s">
        <v>28</v>
      </c>
      <c r="G587" t="s">
        <v>22</v>
      </c>
      <c r="H587" t="s">
        <v>23</v>
      </c>
      <c r="I587">
        <v>5</v>
      </c>
      <c r="J587">
        <v>2.34</v>
      </c>
      <c r="K587">
        <v>11.7</v>
      </c>
    </row>
    <row r="588" spans="1:11" x14ac:dyDescent="0.3">
      <c r="A588">
        <v>1587</v>
      </c>
      <c r="B588" s="3" t="s">
        <v>141</v>
      </c>
      <c r="C588" s="1" t="s">
        <v>622</v>
      </c>
      <c r="D588" t="s">
        <v>48</v>
      </c>
      <c r="E588" t="s">
        <v>14</v>
      </c>
      <c r="F588" t="s">
        <v>21</v>
      </c>
      <c r="G588" t="s">
        <v>29</v>
      </c>
      <c r="H588" t="s">
        <v>43</v>
      </c>
      <c r="I588">
        <v>3</v>
      </c>
      <c r="J588">
        <v>4.8499999999999996</v>
      </c>
      <c r="K588">
        <v>14.55</v>
      </c>
    </row>
    <row r="589" spans="1:11" x14ac:dyDescent="0.3">
      <c r="A589">
        <v>1588</v>
      </c>
      <c r="B589" s="3" t="s">
        <v>264</v>
      </c>
      <c r="C589" s="1" t="s">
        <v>553</v>
      </c>
      <c r="D589" t="s">
        <v>26</v>
      </c>
      <c r="E589" t="s">
        <v>51</v>
      </c>
      <c r="F589" t="s">
        <v>28</v>
      </c>
      <c r="G589" t="s">
        <v>16</v>
      </c>
      <c r="H589" t="s">
        <v>35</v>
      </c>
      <c r="I589">
        <v>1</v>
      </c>
      <c r="J589">
        <v>2.0299999999999998</v>
      </c>
      <c r="K589">
        <v>2.0299999999999998</v>
      </c>
    </row>
    <row r="590" spans="1:11" x14ac:dyDescent="0.3">
      <c r="A590">
        <v>1589</v>
      </c>
      <c r="B590" s="3" t="s">
        <v>108</v>
      </c>
      <c r="C590" s="1" t="s">
        <v>357</v>
      </c>
      <c r="D590" t="s">
        <v>38</v>
      </c>
      <c r="E590" t="s">
        <v>79</v>
      </c>
      <c r="F590" t="s">
        <v>28</v>
      </c>
      <c r="G590" t="s">
        <v>70</v>
      </c>
      <c r="H590" t="s">
        <v>95</v>
      </c>
      <c r="I590">
        <v>4</v>
      </c>
      <c r="J590">
        <v>5.05</v>
      </c>
      <c r="K590">
        <v>20.2</v>
      </c>
    </row>
    <row r="591" spans="1:11" x14ac:dyDescent="0.3">
      <c r="A591">
        <v>1590</v>
      </c>
      <c r="B591" s="3" t="s">
        <v>516</v>
      </c>
      <c r="C591" s="1" t="s">
        <v>404</v>
      </c>
      <c r="D591" t="s">
        <v>13</v>
      </c>
      <c r="E591" t="s">
        <v>39</v>
      </c>
      <c r="F591" t="s">
        <v>28</v>
      </c>
      <c r="G591" t="s">
        <v>70</v>
      </c>
      <c r="H591" t="s">
        <v>71</v>
      </c>
      <c r="I591">
        <v>2</v>
      </c>
      <c r="J591">
        <v>3.25</v>
      </c>
      <c r="K591">
        <v>6.5</v>
      </c>
    </row>
    <row r="592" spans="1:11" x14ac:dyDescent="0.3">
      <c r="A592">
        <v>1591</v>
      </c>
      <c r="B592" s="3" t="s">
        <v>387</v>
      </c>
      <c r="C592" s="1" t="s">
        <v>623</v>
      </c>
      <c r="D592" t="s">
        <v>38</v>
      </c>
      <c r="E592" t="s">
        <v>20</v>
      </c>
      <c r="F592" t="s">
        <v>21</v>
      </c>
      <c r="G592" t="s">
        <v>22</v>
      </c>
      <c r="H592" t="s">
        <v>23</v>
      </c>
      <c r="I592">
        <v>2</v>
      </c>
      <c r="J592">
        <v>2.62</v>
      </c>
      <c r="K592">
        <v>5.24</v>
      </c>
    </row>
    <row r="593" spans="1:11" x14ac:dyDescent="0.3">
      <c r="A593">
        <v>1592</v>
      </c>
      <c r="B593" s="3" t="s">
        <v>268</v>
      </c>
      <c r="C593" s="1" t="s">
        <v>423</v>
      </c>
      <c r="D593" t="s">
        <v>33</v>
      </c>
      <c r="E593" t="s">
        <v>51</v>
      </c>
      <c r="F593" t="s">
        <v>15</v>
      </c>
      <c r="G593" t="s">
        <v>22</v>
      </c>
      <c r="H593" t="s">
        <v>23</v>
      </c>
      <c r="I593">
        <v>2</v>
      </c>
      <c r="J593">
        <v>3.79</v>
      </c>
      <c r="K593">
        <v>7.58</v>
      </c>
    </row>
    <row r="594" spans="1:11" x14ac:dyDescent="0.3">
      <c r="A594">
        <v>1593</v>
      </c>
      <c r="B594" s="3" t="s">
        <v>171</v>
      </c>
      <c r="C594" s="1" t="s">
        <v>624</v>
      </c>
      <c r="D594" t="s">
        <v>13</v>
      </c>
      <c r="E594" t="s">
        <v>79</v>
      </c>
      <c r="F594" t="s">
        <v>28</v>
      </c>
      <c r="G594" t="s">
        <v>29</v>
      </c>
      <c r="H594" t="s">
        <v>30</v>
      </c>
      <c r="I594">
        <v>5</v>
      </c>
      <c r="J594">
        <v>5.45</v>
      </c>
      <c r="K594">
        <v>27.25</v>
      </c>
    </row>
    <row r="595" spans="1:11" x14ac:dyDescent="0.3">
      <c r="A595">
        <v>1594</v>
      </c>
      <c r="B595" s="3" t="s">
        <v>469</v>
      </c>
      <c r="C595" s="1" t="s">
        <v>413</v>
      </c>
      <c r="D595" t="s">
        <v>33</v>
      </c>
      <c r="E595" t="s">
        <v>79</v>
      </c>
      <c r="F595" t="s">
        <v>28</v>
      </c>
      <c r="G595" t="s">
        <v>22</v>
      </c>
      <c r="H595" t="s">
        <v>23</v>
      </c>
      <c r="I595">
        <v>4</v>
      </c>
      <c r="J595">
        <v>3.54</v>
      </c>
      <c r="K595">
        <v>14.16</v>
      </c>
    </row>
    <row r="596" spans="1:11" x14ac:dyDescent="0.3">
      <c r="A596">
        <v>1595</v>
      </c>
      <c r="B596" s="3" t="s">
        <v>197</v>
      </c>
      <c r="C596" s="1" t="s">
        <v>625</v>
      </c>
      <c r="D596" t="s">
        <v>33</v>
      </c>
      <c r="E596" t="s">
        <v>79</v>
      </c>
      <c r="F596" t="s">
        <v>21</v>
      </c>
      <c r="G596" t="s">
        <v>22</v>
      </c>
      <c r="H596" t="s">
        <v>23</v>
      </c>
      <c r="I596">
        <v>5</v>
      </c>
      <c r="J596">
        <v>2.8</v>
      </c>
      <c r="K596">
        <v>14</v>
      </c>
    </row>
    <row r="597" spans="1:11" x14ac:dyDescent="0.3">
      <c r="A597">
        <v>1596</v>
      </c>
      <c r="B597" s="3" t="s">
        <v>82</v>
      </c>
      <c r="C597" s="1" t="s">
        <v>438</v>
      </c>
      <c r="D597" t="s">
        <v>48</v>
      </c>
      <c r="E597" t="s">
        <v>20</v>
      </c>
      <c r="F597" t="s">
        <v>15</v>
      </c>
      <c r="G597" t="s">
        <v>70</v>
      </c>
      <c r="H597" t="s">
        <v>71</v>
      </c>
      <c r="I597">
        <v>2</v>
      </c>
      <c r="J597">
        <v>2.7</v>
      </c>
      <c r="K597">
        <v>5.4</v>
      </c>
    </row>
    <row r="598" spans="1:11" x14ac:dyDescent="0.3">
      <c r="A598">
        <v>1597</v>
      </c>
      <c r="B598" s="3" t="s">
        <v>243</v>
      </c>
      <c r="C598" s="1" t="s">
        <v>626</v>
      </c>
      <c r="D598" t="s">
        <v>48</v>
      </c>
      <c r="E598" t="s">
        <v>39</v>
      </c>
      <c r="F598" t="s">
        <v>15</v>
      </c>
      <c r="G598" t="s">
        <v>29</v>
      </c>
      <c r="H598" t="s">
        <v>43</v>
      </c>
      <c r="I598">
        <v>3</v>
      </c>
      <c r="J598">
        <v>4.6500000000000004</v>
      </c>
      <c r="K598">
        <v>13.95</v>
      </c>
    </row>
    <row r="599" spans="1:11" x14ac:dyDescent="0.3">
      <c r="A599">
        <v>1598</v>
      </c>
      <c r="B599" s="3" t="s">
        <v>100</v>
      </c>
      <c r="C599" s="1" t="s">
        <v>627</v>
      </c>
      <c r="D599" t="s">
        <v>48</v>
      </c>
      <c r="E599" t="s">
        <v>51</v>
      </c>
      <c r="F599" t="s">
        <v>21</v>
      </c>
      <c r="G599" t="s">
        <v>22</v>
      </c>
      <c r="H599" t="s">
        <v>23</v>
      </c>
      <c r="I599">
        <v>4</v>
      </c>
      <c r="J599">
        <v>2.7</v>
      </c>
      <c r="K599">
        <v>10.8</v>
      </c>
    </row>
    <row r="600" spans="1:11" x14ac:dyDescent="0.3">
      <c r="A600">
        <v>1599</v>
      </c>
      <c r="B600" s="3" t="s">
        <v>201</v>
      </c>
      <c r="C600" s="1" t="s">
        <v>628</v>
      </c>
      <c r="D600" t="s">
        <v>48</v>
      </c>
      <c r="E600" t="s">
        <v>14</v>
      </c>
      <c r="F600" t="s">
        <v>21</v>
      </c>
      <c r="G600" t="s">
        <v>70</v>
      </c>
      <c r="H600" t="s">
        <v>71</v>
      </c>
      <c r="I600">
        <v>3</v>
      </c>
      <c r="J600">
        <v>5.01</v>
      </c>
      <c r="K600">
        <v>15.03</v>
      </c>
    </row>
    <row r="601" spans="1:11" x14ac:dyDescent="0.3">
      <c r="A601">
        <v>1600</v>
      </c>
      <c r="B601" s="3" t="s">
        <v>473</v>
      </c>
      <c r="C601" s="1" t="s">
        <v>629</v>
      </c>
      <c r="D601" t="s">
        <v>33</v>
      </c>
      <c r="E601" t="s">
        <v>27</v>
      </c>
      <c r="F601" t="s">
        <v>28</v>
      </c>
      <c r="G601" t="s">
        <v>70</v>
      </c>
      <c r="H601" t="s">
        <v>71</v>
      </c>
      <c r="I601">
        <v>2</v>
      </c>
      <c r="J601">
        <v>4.45</v>
      </c>
      <c r="K601">
        <v>8.9</v>
      </c>
    </row>
    <row r="602" spans="1:11" x14ac:dyDescent="0.3">
      <c r="A602">
        <v>1601</v>
      </c>
      <c r="B602" s="3" t="s">
        <v>192</v>
      </c>
      <c r="C602" s="1" t="s">
        <v>630</v>
      </c>
      <c r="D602" t="s">
        <v>13</v>
      </c>
      <c r="E602" t="s">
        <v>27</v>
      </c>
      <c r="F602" t="s">
        <v>28</v>
      </c>
      <c r="G602" t="s">
        <v>29</v>
      </c>
      <c r="H602" t="s">
        <v>52</v>
      </c>
      <c r="I602">
        <v>3</v>
      </c>
      <c r="J602">
        <v>5.01</v>
      </c>
      <c r="K602">
        <v>15.03</v>
      </c>
    </row>
    <row r="603" spans="1:11" x14ac:dyDescent="0.3">
      <c r="A603">
        <v>1602</v>
      </c>
      <c r="B603" s="3" t="s">
        <v>164</v>
      </c>
      <c r="C603" s="1" t="s">
        <v>231</v>
      </c>
      <c r="D603" t="s">
        <v>38</v>
      </c>
      <c r="E603" t="s">
        <v>79</v>
      </c>
      <c r="F603" t="s">
        <v>28</v>
      </c>
      <c r="G603" t="s">
        <v>22</v>
      </c>
      <c r="H603" t="s">
        <v>23</v>
      </c>
      <c r="I603">
        <v>3</v>
      </c>
      <c r="J603">
        <v>2.0699999999999998</v>
      </c>
      <c r="K603">
        <v>6.21</v>
      </c>
    </row>
    <row r="604" spans="1:11" x14ac:dyDescent="0.3">
      <c r="A604">
        <v>1603</v>
      </c>
      <c r="B604" s="3" t="s">
        <v>171</v>
      </c>
      <c r="C604" s="1" t="s">
        <v>631</v>
      </c>
      <c r="D604" t="s">
        <v>13</v>
      </c>
      <c r="E604" t="s">
        <v>79</v>
      </c>
      <c r="F604" t="s">
        <v>15</v>
      </c>
      <c r="G604" t="s">
        <v>70</v>
      </c>
      <c r="H604" t="s">
        <v>95</v>
      </c>
      <c r="I604">
        <v>3</v>
      </c>
      <c r="J604">
        <v>3.91</v>
      </c>
      <c r="K604">
        <v>11.73</v>
      </c>
    </row>
    <row r="605" spans="1:11" x14ac:dyDescent="0.3">
      <c r="A605">
        <v>1604</v>
      </c>
      <c r="B605" s="3" t="s">
        <v>269</v>
      </c>
      <c r="C605" s="1" t="s">
        <v>632</v>
      </c>
      <c r="D605" t="s">
        <v>26</v>
      </c>
      <c r="E605" t="s">
        <v>79</v>
      </c>
      <c r="F605" t="s">
        <v>28</v>
      </c>
      <c r="G605" t="s">
        <v>22</v>
      </c>
      <c r="H605" t="s">
        <v>23</v>
      </c>
      <c r="I605">
        <v>3</v>
      </c>
      <c r="J605">
        <v>5.98</v>
      </c>
      <c r="K605">
        <v>17.940000000000001</v>
      </c>
    </row>
    <row r="606" spans="1:11" x14ac:dyDescent="0.3">
      <c r="A606">
        <v>1605</v>
      </c>
      <c r="B606" s="3" t="s">
        <v>110</v>
      </c>
      <c r="C606" s="1" t="s">
        <v>168</v>
      </c>
      <c r="D606" t="s">
        <v>26</v>
      </c>
      <c r="E606" t="s">
        <v>51</v>
      </c>
      <c r="F606" t="s">
        <v>28</v>
      </c>
      <c r="G606" t="s">
        <v>70</v>
      </c>
      <c r="H606" t="s">
        <v>71</v>
      </c>
      <c r="I606">
        <v>2</v>
      </c>
      <c r="J606">
        <v>2.3199999999999998</v>
      </c>
      <c r="K606">
        <v>4.6399999999999997</v>
      </c>
    </row>
    <row r="607" spans="1:11" x14ac:dyDescent="0.3">
      <c r="A607">
        <v>1606</v>
      </c>
      <c r="B607" s="3" t="s">
        <v>305</v>
      </c>
      <c r="C607" s="1" t="s">
        <v>633</v>
      </c>
      <c r="D607" t="s">
        <v>48</v>
      </c>
      <c r="E607" t="s">
        <v>34</v>
      </c>
      <c r="F607" t="s">
        <v>28</v>
      </c>
      <c r="G607" t="s">
        <v>16</v>
      </c>
      <c r="H607" t="s">
        <v>76</v>
      </c>
      <c r="I607">
        <v>3</v>
      </c>
      <c r="J607">
        <v>3.03</v>
      </c>
      <c r="K607">
        <v>9.09</v>
      </c>
    </row>
    <row r="608" spans="1:11" x14ac:dyDescent="0.3">
      <c r="A608">
        <v>1607</v>
      </c>
      <c r="B608" s="3" t="s">
        <v>469</v>
      </c>
      <c r="C608" s="1" t="s">
        <v>634</v>
      </c>
      <c r="D608" t="s">
        <v>33</v>
      </c>
      <c r="E608" t="s">
        <v>79</v>
      </c>
      <c r="F608" t="s">
        <v>21</v>
      </c>
      <c r="G608" t="s">
        <v>22</v>
      </c>
      <c r="H608" t="s">
        <v>23</v>
      </c>
      <c r="I608">
        <v>5</v>
      </c>
      <c r="J608">
        <v>3.17</v>
      </c>
      <c r="K608">
        <v>15.85</v>
      </c>
    </row>
    <row r="609" spans="1:11" x14ac:dyDescent="0.3">
      <c r="A609">
        <v>1608</v>
      </c>
      <c r="B609" s="3" t="s">
        <v>469</v>
      </c>
      <c r="C609" s="1" t="s">
        <v>635</v>
      </c>
      <c r="D609" t="s">
        <v>33</v>
      </c>
      <c r="E609" t="s">
        <v>79</v>
      </c>
      <c r="F609" t="s">
        <v>28</v>
      </c>
      <c r="G609" t="s">
        <v>29</v>
      </c>
      <c r="H609" t="s">
        <v>57</v>
      </c>
      <c r="I609">
        <v>3</v>
      </c>
      <c r="J609">
        <v>3.67</v>
      </c>
      <c r="K609">
        <v>11.01</v>
      </c>
    </row>
    <row r="610" spans="1:11" x14ac:dyDescent="0.3">
      <c r="A610">
        <v>1609</v>
      </c>
      <c r="B610" s="3" t="s">
        <v>562</v>
      </c>
      <c r="C610" s="1" t="s">
        <v>636</v>
      </c>
      <c r="D610" t="s">
        <v>48</v>
      </c>
      <c r="E610" t="s">
        <v>20</v>
      </c>
      <c r="F610" t="s">
        <v>15</v>
      </c>
      <c r="G610" t="s">
        <v>16</v>
      </c>
      <c r="H610" t="s">
        <v>35</v>
      </c>
      <c r="I610">
        <v>3</v>
      </c>
      <c r="J610">
        <v>2.82</v>
      </c>
      <c r="K610">
        <v>8.4600000000000009</v>
      </c>
    </row>
    <row r="611" spans="1:11" x14ac:dyDescent="0.3">
      <c r="A611">
        <v>1610</v>
      </c>
      <c r="B611" s="3" t="s">
        <v>305</v>
      </c>
      <c r="C611" s="1" t="s">
        <v>273</v>
      </c>
      <c r="D611" t="s">
        <v>48</v>
      </c>
      <c r="E611" t="s">
        <v>34</v>
      </c>
      <c r="F611" t="s">
        <v>28</v>
      </c>
      <c r="G611" t="s">
        <v>16</v>
      </c>
      <c r="H611" t="s">
        <v>35</v>
      </c>
      <c r="I611">
        <v>4</v>
      </c>
      <c r="J611">
        <v>2.65</v>
      </c>
      <c r="K611">
        <v>10.6</v>
      </c>
    </row>
    <row r="612" spans="1:11" x14ac:dyDescent="0.3">
      <c r="A612">
        <v>1611</v>
      </c>
      <c r="B612" s="3" t="s">
        <v>326</v>
      </c>
      <c r="C612" s="1" t="s">
        <v>637</v>
      </c>
      <c r="D612" t="s">
        <v>33</v>
      </c>
      <c r="E612" t="s">
        <v>79</v>
      </c>
      <c r="F612" t="s">
        <v>15</v>
      </c>
      <c r="G612" t="s">
        <v>29</v>
      </c>
      <c r="H612" t="s">
        <v>43</v>
      </c>
      <c r="I612">
        <v>1</v>
      </c>
      <c r="J612">
        <v>3.73</v>
      </c>
      <c r="K612">
        <v>3.73</v>
      </c>
    </row>
    <row r="613" spans="1:11" x14ac:dyDescent="0.3">
      <c r="A613">
        <v>1612</v>
      </c>
      <c r="B613" s="3" t="s">
        <v>62</v>
      </c>
      <c r="C613" s="1" t="s">
        <v>638</v>
      </c>
      <c r="D613" t="s">
        <v>33</v>
      </c>
      <c r="E613" t="s">
        <v>39</v>
      </c>
      <c r="F613" t="s">
        <v>15</v>
      </c>
      <c r="G613" t="s">
        <v>16</v>
      </c>
      <c r="H613" t="s">
        <v>35</v>
      </c>
      <c r="I613">
        <v>4</v>
      </c>
      <c r="J613">
        <v>2.64</v>
      </c>
      <c r="K613">
        <v>10.56</v>
      </c>
    </row>
    <row r="614" spans="1:11" x14ac:dyDescent="0.3">
      <c r="A614">
        <v>1613</v>
      </c>
      <c r="B614" s="3" t="s">
        <v>77</v>
      </c>
      <c r="C614" s="1" t="s">
        <v>625</v>
      </c>
      <c r="D614" t="s">
        <v>38</v>
      </c>
      <c r="E614" t="s">
        <v>79</v>
      </c>
      <c r="F614" t="s">
        <v>15</v>
      </c>
      <c r="G614" t="s">
        <v>16</v>
      </c>
      <c r="H614" t="s">
        <v>35</v>
      </c>
      <c r="I614">
        <v>5</v>
      </c>
      <c r="J614">
        <v>5.55</v>
      </c>
      <c r="K614">
        <v>27.75</v>
      </c>
    </row>
    <row r="615" spans="1:11" x14ac:dyDescent="0.3">
      <c r="A615">
        <v>1614</v>
      </c>
      <c r="B615" s="3" t="s">
        <v>58</v>
      </c>
      <c r="C615" s="1" t="s">
        <v>509</v>
      </c>
      <c r="D615" t="s">
        <v>42</v>
      </c>
      <c r="E615" t="s">
        <v>14</v>
      </c>
      <c r="F615" t="s">
        <v>28</v>
      </c>
      <c r="G615" t="s">
        <v>16</v>
      </c>
      <c r="H615" t="s">
        <v>17</v>
      </c>
      <c r="I615">
        <v>1</v>
      </c>
      <c r="J615">
        <v>2.19</v>
      </c>
      <c r="K615">
        <v>2.19</v>
      </c>
    </row>
    <row r="616" spans="1:11" x14ac:dyDescent="0.3">
      <c r="A616">
        <v>1615</v>
      </c>
      <c r="B616" s="3" t="s">
        <v>166</v>
      </c>
      <c r="C616" s="1" t="s">
        <v>361</v>
      </c>
      <c r="D616" t="s">
        <v>48</v>
      </c>
      <c r="E616" t="s">
        <v>79</v>
      </c>
      <c r="F616" t="s">
        <v>21</v>
      </c>
      <c r="G616" t="s">
        <v>70</v>
      </c>
      <c r="H616" t="s">
        <v>95</v>
      </c>
      <c r="I616">
        <v>4</v>
      </c>
      <c r="J616">
        <v>4.66</v>
      </c>
      <c r="K616">
        <v>18.64</v>
      </c>
    </row>
    <row r="617" spans="1:11" x14ac:dyDescent="0.3">
      <c r="A617">
        <v>1616</v>
      </c>
      <c r="B617" s="3" t="s">
        <v>236</v>
      </c>
      <c r="C617" s="1" t="s">
        <v>536</v>
      </c>
      <c r="D617" t="s">
        <v>42</v>
      </c>
      <c r="E617" t="s">
        <v>79</v>
      </c>
      <c r="F617" t="s">
        <v>21</v>
      </c>
      <c r="G617" t="s">
        <v>22</v>
      </c>
      <c r="H617" t="s">
        <v>23</v>
      </c>
      <c r="I617">
        <v>4</v>
      </c>
      <c r="J617">
        <v>5.07</v>
      </c>
      <c r="K617">
        <v>20.28</v>
      </c>
    </row>
    <row r="618" spans="1:11" x14ac:dyDescent="0.3">
      <c r="A618">
        <v>1617</v>
      </c>
      <c r="B618" s="3" t="s">
        <v>284</v>
      </c>
      <c r="C618" s="1" t="s">
        <v>639</v>
      </c>
      <c r="D618" t="s">
        <v>38</v>
      </c>
      <c r="E618" t="s">
        <v>27</v>
      </c>
      <c r="F618" t="s">
        <v>21</v>
      </c>
      <c r="G618" t="s">
        <v>70</v>
      </c>
      <c r="H618" t="s">
        <v>95</v>
      </c>
      <c r="I618">
        <v>2</v>
      </c>
      <c r="J618">
        <v>3.01</v>
      </c>
      <c r="K618">
        <v>6.02</v>
      </c>
    </row>
    <row r="619" spans="1:11" x14ac:dyDescent="0.3">
      <c r="A619">
        <v>1618</v>
      </c>
      <c r="B619" s="3" t="s">
        <v>11</v>
      </c>
      <c r="C619" s="1" t="s">
        <v>640</v>
      </c>
      <c r="D619" t="s">
        <v>13</v>
      </c>
      <c r="E619" t="s">
        <v>14</v>
      </c>
      <c r="F619" t="s">
        <v>28</v>
      </c>
      <c r="G619" t="s">
        <v>29</v>
      </c>
      <c r="H619" t="s">
        <v>43</v>
      </c>
      <c r="I619">
        <v>1</v>
      </c>
      <c r="J619">
        <v>5.31</v>
      </c>
      <c r="K619">
        <v>5.31</v>
      </c>
    </row>
    <row r="620" spans="1:11" x14ac:dyDescent="0.3">
      <c r="A620">
        <v>1619</v>
      </c>
      <c r="B620" s="3" t="s">
        <v>96</v>
      </c>
      <c r="C620" s="1" t="s">
        <v>360</v>
      </c>
      <c r="D620" t="s">
        <v>26</v>
      </c>
      <c r="E620" t="s">
        <v>79</v>
      </c>
      <c r="F620" t="s">
        <v>15</v>
      </c>
      <c r="G620" t="s">
        <v>22</v>
      </c>
      <c r="H620" t="s">
        <v>23</v>
      </c>
      <c r="I620">
        <v>3</v>
      </c>
      <c r="J620">
        <v>5.0199999999999996</v>
      </c>
      <c r="K620">
        <v>15.06</v>
      </c>
    </row>
    <row r="621" spans="1:11" x14ac:dyDescent="0.3">
      <c r="A621">
        <v>1620</v>
      </c>
      <c r="B621" s="3" t="s">
        <v>40</v>
      </c>
      <c r="C621" s="1" t="s">
        <v>641</v>
      </c>
      <c r="D621" t="s">
        <v>42</v>
      </c>
      <c r="E621" t="s">
        <v>34</v>
      </c>
      <c r="F621" t="s">
        <v>28</v>
      </c>
      <c r="G621" t="s">
        <v>70</v>
      </c>
      <c r="H621" t="s">
        <v>95</v>
      </c>
      <c r="I621">
        <v>2</v>
      </c>
      <c r="J621">
        <v>2.86</v>
      </c>
      <c r="K621">
        <v>5.72</v>
      </c>
    </row>
    <row r="622" spans="1:11" x14ac:dyDescent="0.3">
      <c r="A622">
        <v>1621</v>
      </c>
      <c r="B622" s="3" t="s">
        <v>44</v>
      </c>
      <c r="C622" s="1" t="s">
        <v>642</v>
      </c>
      <c r="D622" t="s">
        <v>42</v>
      </c>
      <c r="E622" t="s">
        <v>34</v>
      </c>
      <c r="F622" t="s">
        <v>28</v>
      </c>
      <c r="G622" t="s">
        <v>22</v>
      </c>
      <c r="H622" t="s">
        <v>23</v>
      </c>
      <c r="I622">
        <v>4</v>
      </c>
      <c r="J622">
        <v>5.86</v>
      </c>
      <c r="K622">
        <v>23.44</v>
      </c>
    </row>
    <row r="623" spans="1:11" x14ac:dyDescent="0.3">
      <c r="A623">
        <v>1622</v>
      </c>
      <c r="B623" s="3" t="s">
        <v>96</v>
      </c>
      <c r="C623" s="1" t="s">
        <v>423</v>
      </c>
      <c r="D623" t="s">
        <v>26</v>
      </c>
      <c r="E623" t="s">
        <v>79</v>
      </c>
      <c r="F623" t="s">
        <v>21</v>
      </c>
      <c r="G623" t="s">
        <v>16</v>
      </c>
      <c r="H623" t="s">
        <v>17</v>
      </c>
      <c r="I623">
        <v>1</v>
      </c>
      <c r="J623">
        <v>4.54</v>
      </c>
      <c r="K623">
        <v>4.54</v>
      </c>
    </row>
    <row r="624" spans="1:11" x14ac:dyDescent="0.3">
      <c r="A624">
        <v>1623</v>
      </c>
      <c r="B624" s="3" t="s">
        <v>210</v>
      </c>
      <c r="C624" s="1" t="s">
        <v>638</v>
      </c>
      <c r="D624" t="s">
        <v>38</v>
      </c>
      <c r="E624" t="s">
        <v>34</v>
      </c>
      <c r="F624" t="s">
        <v>28</v>
      </c>
      <c r="G624" t="s">
        <v>16</v>
      </c>
      <c r="H624" t="s">
        <v>76</v>
      </c>
      <c r="I624">
        <v>2</v>
      </c>
      <c r="J624">
        <v>2.57</v>
      </c>
      <c r="K624">
        <v>5.14</v>
      </c>
    </row>
    <row r="625" spans="1:11" x14ac:dyDescent="0.3">
      <c r="A625">
        <v>1624</v>
      </c>
      <c r="B625" s="3" t="s">
        <v>300</v>
      </c>
      <c r="C625" s="1" t="s">
        <v>643</v>
      </c>
      <c r="D625" t="s">
        <v>13</v>
      </c>
      <c r="E625" t="s">
        <v>79</v>
      </c>
      <c r="F625" t="s">
        <v>15</v>
      </c>
      <c r="G625" t="s">
        <v>29</v>
      </c>
      <c r="H625" t="s">
        <v>43</v>
      </c>
      <c r="I625">
        <v>5</v>
      </c>
      <c r="J625">
        <v>4.96</v>
      </c>
      <c r="K625">
        <v>24.8</v>
      </c>
    </row>
    <row r="626" spans="1:11" x14ac:dyDescent="0.3">
      <c r="A626">
        <v>1625</v>
      </c>
      <c r="B626" s="3" t="s">
        <v>308</v>
      </c>
      <c r="C626" s="1" t="s">
        <v>636</v>
      </c>
      <c r="D626" t="s">
        <v>42</v>
      </c>
      <c r="E626" t="s">
        <v>27</v>
      </c>
      <c r="F626" t="s">
        <v>21</v>
      </c>
      <c r="G626" t="s">
        <v>29</v>
      </c>
      <c r="H626" t="s">
        <v>30</v>
      </c>
      <c r="I626">
        <v>2</v>
      </c>
      <c r="J626">
        <v>2.39</v>
      </c>
      <c r="K626">
        <v>4.78</v>
      </c>
    </row>
    <row r="627" spans="1:11" x14ac:dyDescent="0.3">
      <c r="A627">
        <v>1626</v>
      </c>
      <c r="B627" s="3" t="s">
        <v>418</v>
      </c>
      <c r="C627" s="1" t="s">
        <v>119</v>
      </c>
      <c r="D627" t="s">
        <v>42</v>
      </c>
      <c r="E627" t="s">
        <v>14</v>
      </c>
      <c r="F627" t="s">
        <v>28</v>
      </c>
      <c r="G627" t="s">
        <v>70</v>
      </c>
      <c r="H627" t="s">
        <v>95</v>
      </c>
      <c r="I627">
        <v>1</v>
      </c>
      <c r="J627">
        <v>3.27</v>
      </c>
      <c r="K627">
        <v>3.27</v>
      </c>
    </row>
    <row r="628" spans="1:11" x14ac:dyDescent="0.3">
      <c r="A628">
        <v>1627</v>
      </c>
      <c r="B628" s="3" t="s">
        <v>312</v>
      </c>
      <c r="C628" s="1" t="s">
        <v>173</v>
      </c>
      <c r="D628" t="s">
        <v>42</v>
      </c>
      <c r="E628" t="s">
        <v>79</v>
      </c>
      <c r="F628" t="s">
        <v>15</v>
      </c>
      <c r="G628" t="s">
        <v>16</v>
      </c>
      <c r="H628" t="s">
        <v>35</v>
      </c>
      <c r="I628">
        <v>3</v>
      </c>
      <c r="J628">
        <v>6</v>
      </c>
      <c r="K628">
        <v>18</v>
      </c>
    </row>
    <row r="629" spans="1:11" x14ac:dyDescent="0.3">
      <c r="A629">
        <v>1628</v>
      </c>
      <c r="B629" s="3" t="s">
        <v>116</v>
      </c>
      <c r="C629" s="1" t="s">
        <v>278</v>
      </c>
      <c r="D629" t="s">
        <v>26</v>
      </c>
      <c r="E629" t="s">
        <v>27</v>
      </c>
      <c r="F629" t="s">
        <v>15</v>
      </c>
      <c r="G629" t="s">
        <v>70</v>
      </c>
      <c r="H629" t="s">
        <v>90</v>
      </c>
      <c r="I629">
        <v>3</v>
      </c>
      <c r="J629">
        <v>5.22</v>
      </c>
      <c r="K629">
        <v>15.66</v>
      </c>
    </row>
    <row r="630" spans="1:11" x14ac:dyDescent="0.3">
      <c r="A630">
        <v>1629</v>
      </c>
      <c r="B630" s="3" t="s">
        <v>11</v>
      </c>
      <c r="C630" s="1" t="s">
        <v>273</v>
      </c>
      <c r="D630" t="s">
        <v>13</v>
      </c>
      <c r="E630" t="s">
        <v>14</v>
      </c>
      <c r="F630" t="s">
        <v>21</v>
      </c>
      <c r="G630" t="s">
        <v>22</v>
      </c>
      <c r="H630" t="s">
        <v>23</v>
      </c>
      <c r="I630">
        <v>3</v>
      </c>
      <c r="J630">
        <v>5.21</v>
      </c>
      <c r="K630">
        <v>15.63</v>
      </c>
    </row>
    <row r="631" spans="1:11" x14ac:dyDescent="0.3">
      <c r="A631">
        <v>1630</v>
      </c>
      <c r="B631" s="3" t="s">
        <v>415</v>
      </c>
      <c r="C631" s="1" t="s">
        <v>644</v>
      </c>
      <c r="D631" t="s">
        <v>48</v>
      </c>
      <c r="E631" t="s">
        <v>34</v>
      </c>
      <c r="F631" t="s">
        <v>15</v>
      </c>
      <c r="G631" t="s">
        <v>22</v>
      </c>
      <c r="H631" t="s">
        <v>23</v>
      </c>
      <c r="I631">
        <v>2</v>
      </c>
      <c r="J631">
        <v>5.07</v>
      </c>
      <c r="K631">
        <v>10.14</v>
      </c>
    </row>
    <row r="632" spans="1:11" x14ac:dyDescent="0.3">
      <c r="A632">
        <v>1631</v>
      </c>
      <c r="B632" s="3" t="s">
        <v>229</v>
      </c>
      <c r="C632" s="1" t="s">
        <v>645</v>
      </c>
      <c r="D632" t="s">
        <v>48</v>
      </c>
      <c r="E632" t="s">
        <v>79</v>
      </c>
      <c r="F632" t="s">
        <v>28</v>
      </c>
      <c r="G632" t="s">
        <v>29</v>
      </c>
      <c r="H632" t="s">
        <v>57</v>
      </c>
      <c r="I632">
        <v>3</v>
      </c>
      <c r="J632">
        <v>2.34</v>
      </c>
      <c r="K632">
        <v>7.02</v>
      </c>
    </row>
    <row r="633" spans="1:11" x14ac:dyDescent="0.3">
      <c r="A633">
        <v>1632</v>
      </c>
      <c r="B633" s="3" t="s">
        <v>64</v>
      </c>
      <c r="C633" s="1" t="s">
        <v>646</v>
      </c>
      <c r="D633" t="s">
        <v>48</v>
      </c>
      <c r="E633" t="s">
        <v>39</v>
      </c>
      <c r="F633" t="s">
        <v>15</v>
      </c>
      <c r="G633" t="s">
        <v>70</v>
      </c>
      <c r="H633" t="s">
        <v>71</v>
      </c>
      <c r="I633">
        <v>4</v>
      </c>
      <c r="J633">
        <v>3.45</v>
      </c>
      <c r="K633">
        <v>13.8</v>
      </c>
    </row>
    <row r="634" spans="1:11" x14ac:dyDescent="0.3">
      <c r="A634">
        <v>1633</v>
      </c>
      <c r="B634" s="3" t="s">
        <v>422</v>
      </c>
      <c r="C634" s="1" t="s">
        <v>324</v>
      </c>
      <c r="D634" t="s">
        <v>13</v>
      </c>
      <c r="E634" t="s">
        <v>51</v>
      </c>
      <c r="F634" t="s">
        <v>15</v>
      </c>
      <c r="G634" t="s">
        <v>70</v>
      </c>
      <c r="H634" t="s">
        <v>71</v>
      </c>
      <c r="I634">
        <v>1</v>
      </c>
      <c r="J634">
        <v>4.29</v>
      </c>
      <c r="K634">
        <v>4.29</v>
      </c>
    </row>
    <row r="635" spans="1:11" x14ac:dyDescent="0.3">
      <c r="A635">
        <v>1634</v>
      </c>
      <c r="B635" s="3" t="s">
        <v>372</v>
      </c>
      <c r="C635" s="1" t="s">
        <v>616</v>
      </c>
      <c r="D635" t="s">
        <v>42</v>
      </c>
      <c r="E635" t="s">
        <v>34</v>
      </c>
      <c r="F635" t="s">
        <v>28</v>
      </c>
      <c r="G635" t="s">
        <v>70</v>
      </c>
      <c r="H635" t="s">
        <v>71</v>
      </c>
      <c r="I635">
        <v>4</v>
      </c>
      <c r="J635">
        <v>3.67</v>
      </c>
      <c r="K635">
        <v>14.68</v>
      </c>
    </row>
    <row r="636" spans="1:11" x14ac:dyDescent="0.3">
      <c r="A636">
        <v>1635</v>
      </c>
      <c r="B636" s="3" t="s">
        <v>325</v>
      </c>
      <c r="C636" s="1" t="s">
        <v>647</v>
      </c>
      <c r="D636" t="s">
        <v>38</v>
      </c>
      <c r="E636" t="s">
        <v>27</v>
      </c>
      <c r="F636" t="s">
        <v>15</v>
      </c>
      <c r="G636" t="s">
        <v>16</v>
      </c>
      <c r="H636" t="s">
        <v>35</v>
      </c>
      <c r="I636">
        <v>4</v>
      </c>
      <c r="J636">
        <v>2.75</v>
      </c>
      <c r="K636">
        <v>11</v>
      </c>
    </row>
    <row r="637" spans="1:11" x14ac:dyDescent="0.3">
      <c r="A637">
        <v>1636</v>
      </c>
      <c r="B637" s="3" t="s">
        <v>175</v>
      </c>
      <c r="C637" s="1" t="s">
        <v>438</v>
      </c>
      <c r="D637" t="s">
        <v>48</v>
      </c>
      <c r="E637" t="s">
        <v>51</v>
      </c>
      <c r="F637" t="s">
        <v>15</v>
      </c>
      <c r="G637" t="s">
        <v>16</v>
      </c>
      <c r="H637" t="s">
        <v>76</v>
      </c>
      <c r="I637">
        <v>1</v>
      </c>
      <c r="J637">
        <v>4.58</v>
      </c>
      <c r="K637">
        <v>4.58</v>
      </c>
    </row>
    <row r="638" spans="1:11" x14ac:dyDescent="0.3">
      <c r="A638">
        <v>1637</v>
      </c>
      <c r="B638" s="3" t="s">
        <v>648</v>
      </c>
      <c r="C638" s="1" t="s">
        <v>486</v>
      </c>
      <c r="D638" t="s">
        <v>26</v>
      </c>
      <c r="E638" t="s">
        <v>79</v>
      </c>
      <c r="F638" t="s">
        <v>28</v>
      </c>
      <c r="G638" t="s">
        <v>29</v>
      </c>
      <c r="H638" t="s">
        <v>43</v>
      </c>
      <c r="I638">
        <v>1</v>
      </c>
      <c r="J638">
        <v>4.07</v>
      </c>
      <c r="K638">
        <v>4.07</v>
      </c>
    </row>
    <row r="639" spans="1:11" x14ac:dyDescent="0.3">
      <c r="A639">
        <v>1638</v>
      </c>
      <c r="B639" s="3" t="s">
        <v>308</v>
      </c>
      <c r="C639" s="1" t="s">
        <v>649</v>
      </c>
      <c r="D639" t="s">
        <v>42</v>
      </c>
      <c r="E639" t="s">
        <v>27</v>
      </c>
      <c r="F639" t="s">
        <v>15</v>
      </c>
      <c r="G639" t="s">
        <v>70</v>
      </c>
      <c r="H639" t="s">
        <v>71</v>
      </c>
      <c r="I639">
        <v>1</v>
      </c>
      <c r="J639">
        <v>3.16</v>
      </c>
      <c r="K639">
        <v>3.16</v>
      </c>
    </row>
    <row r="640" spans="1:11" x14ac:dyDescent="0.3">
      <c r="A640">
        <v>1639</v>
      </c>
      <c r="B640" s="3" t="s">
        <v>145</v>
      </c>
      <c r="C640" s="1" t="s">
        <v>217</v>
      </c>
      <c r="D640" t="s">
        <v>42</v>
      </c>
      <c r="E640" t="s">
        <v>79</v>
      </c>
      <c r="F640" t="s">
        <v>15</v>
      </c>
      <c r="G640" t="s">
        <v>16</v>
      </c>
      <c r="H640" t="s">
        <v>17</v>
      </c>
      <c r="I640">
        <v>5</v>
      </c>
      <c r="J640">
        <v>3.5</v>
      </c>
      <c r="K640">
        <v>17.5</v>
      </c>
    </row>
    <row r="641" spans="1:11" x14ac:dyDescent="0.3">
      <c r="A641">
        <v>1640</v>
      </c>
      <c r="B641" s="3" t="s">
        <v>608</v>
      </c>
      <c r="C641" s="1" t="s">
        <v>650</v>
      </c>
      <c r="D641" t="s">
        <v>33</v>
      </c>
      <c r="E641" t="s">
        <v>51</v>
      </c>
      <c r="F641" t="s">
        <v>28</v>
      </c>
      <c r="G641" t="s">
        <v>29</v>
      </c>
      <c r="H641" t="s">
        <v>30</v>
      </c>
      <c r="I641">
        <v>5</v>
      </c>
      <c r="J641">
        <v>5.52</v>
      </c>
      <c r="K641">
        <v>27.6</v>
      </c>
    </row>
    <row r="642" spans="1:11" x14ac:dyDescent="0.3">
      <c r="A642">
        <v>1641</v>
      </c>
      <c r="B642" s="3" t="s">
        <v>243</v>
      </c>
      <c r="C642" s="1" t="s">
        <v>651</v>
      </c>
      <c r="D642" t="s">
        <v>48</v>
      </c>
      <c r="E642" t="s">
        <v>39</v>
      </c>
      <c r="F642" t="s">
        <v>21</v>
      </c>
      <c r="G642" t="s">
        <v>70</v>
      </c>
      <c r="H642" t="s">
        <v>71</v>
      </c>
      <c r="I642">
        <v>1</v>
      </c>
      <c r="J642">
        <v>2.34</v>
      </c>
      <c r="K642">
        <v>2.34</v>
      </c>
    </row>
    <row r="643" spans="1:11" x14ac:dyDescent="0.3">
      <c r="A643">
        <v>1642</v>
      </c>
      <c r="B643" s="3" t="s">
        <v>371</v>
      </c>
      <c r="C643" s="1" t="s">
        <v>41</v>
      </c>
      <c r="D643" t="s">
        <v>13</v>
      </c>
      <c r="E643" t="s">
        <v>20</v>
      </c>
      <c r="F643" t="s">
        <v>15</v>
      </c>
      <c r="G643" t="s">
        <v>29</v>
      </c>
      <c r="H643" t="s">
        <v>52</v>
      </c>
      <c r="I643">
        <v>1</v>
      </c>
      <c r="J643">
        <v>2.76</v>
      </c>
      <c r="K643">
        <v>2.76</v>
      </c>
    </row>
    <row r="644" spans="1:11" x14ac:dyDescent="0.3">
      <c r="A644">
        <v>1643</v>
      </c>
      <c r="B644" s="3" t="s">
        <v>648</v>
      </c>
      <c r="C644" s="1" t="s">
        <v>652</v>
      </c>
      <c r="D644" t="s">
        <v>26</v>
      </c>
      <c r="E644" t="s">
        <v>79</v>
      </c>
      <c r="F644" t="s">
        <v>28</v>
      </c>
      <c r="G644" t="s">
        <v>22</v>
      </c>
      <c r="H644" t="s">
        <v>23</v>
      </c>
      <c r="I644">
        <v>4</v>
      </c>
      <c r="J644">
        <v>2.7</v>
      </c>
      <c r="K644">
        <v>10.8</v>
      </c>
    </row>
    <row r="645" spans="1:11" x14ac:dyDescent="0.3">
      <c r="A645">
        <v>1644</v>
      </c>
      <c r="B645" s="3" t="s">
        <v>560</v>
      </c>
      <c r="C645" s="1" t="s">
        <v>349</v>
      </c>
      <c r="D645" t="s">
        <v>48</v>
      </c>
      <c r="E645" t="s">
        <v>27</v>
      </c>
      <c r="F645" t="s">
        <v>15</v>
      </c>
      <c r="G645" t="s">
        <v>16</v>
      </c>
      <c r="H645" t="s">
        <v>35</v>
      </c>
      <c r="I645">
        <v>2</v>
      </c>
      <c r="J645">
        <v>5.84</v>
      </c>
      <c r="K645">
        <v>11.68</v>
      </c>
    </row>
    <row r="646" spans="1:11" x14ac:dyDescent="0.3">
      <c r="A646">
        <v>1645</v>
      </c>
      <c r="B646" s="3" t="s">
        <v>40</v>
      </c>
      <c r="C646" s="1" t="s">
        <v>630</v>
      </c>
      <c r="D646" t="s">
        <v>42</v>
      </c>
      <c r="E646" t="s">
        <v>34</v>
      </c>
      <c r="F646" t="s">
        <v>28</v>
      </c>
      <c r="G646" t="s">
        <v>29</v>
      </c>
      <c r="H646" t="s">
        <v>52</v>
      </c>
      <c r="I646">
        <v>3</v>
      </c>
      <c r="J646">
        <v>4.67</v>
      </c>
      <c r="K646">
        <v>14.01</v>
      </c>
    </row>
    <row r="647" spans="1:11" x14ac:dyDescent="0.3">
      <c r="A647">
        <v>1646</v>
      </c>
      <c r="B647" s="3" t="s">
        <v>648</v>
      </c>
      <c r="C647" s="1" t="s">
        <v>259</v>
      </c>
      <c r="D647" t="s">
        <v>26</v>
      </c>
      <c r="E647" t="s">
        <v>79</v>
      </c>
      <c r="F647" t="s">
        <v>15</v>
      </c>
      <c r="G647" t="s">
        <v>29</v>
      </c>
      <c r="H647" t="s">
        <v>52</v>
      </c>
      <c r="I647">
        <v>4</v>
      </c>
      <c r="J647">
        <v>3.69</v>
      </c>
      <c r="K647">
        <v>14.76</v>
      </c>
    </row>
    <row r="648" spans="1:11" x14ac:dyDescent="0.3">
      <c r="A648">
        <v>1647</v>
      </c>
      <c r="B648" s="3" t="s">
        <v>36</v>
      </c>
      <c r="C648" s="1" t="s">
        <v>653</v>
      </c>
      <c r="D648" t="s">
        <v>38</v>
      </c>
      <c r="E648" t="s">
        <v>39</v>
      </c>
      <c r="F648" t="s">
        <v>28</v>
      </c>
      <c r="G648" t="s">
        <v>16</v>
      </c>
      <c r="H648" t="s">
        <v>17</v>
      </c>
      <c r="I648">
        <v>5</v>
      </c>
      <c r="J648">
        <v>3.1</v>
      </c>
      <c r="K648">
        <v>15.5</v>
      </c>
    </row>
    <row r="649" spans="1:11" x14ac:dyDescent="0.3">
      <c r="A649">
        <v>1648</v>
      </c>
      <c r="B649" s="3" t="s">
        <v>499</v>
      </c>
      <c r="C649" s="1" t="s">
        <v>411</v>
      </c>
      <c r="D649" t="s">
        <v>48</v>
      </c>
      <c r="E649" t="s">
        <v>27</v>
      </c>
      <c r="F649" t="s">
        <v>21</v>
      </c>
      <c r="G649" t="s">
        <v>16</v>
      </c>
      <c r="H649" t="s">
        <v>17</v>
      </c>
      <c r="I649">
        <v>4</v>
      </c>
      <c r="J649">
        <v>2.8</v>
      </c>
      <c r="K649">
        <v>11.2</v>
      </c>
    </row>
    <row r="650" spans="1:11" x14ac:dyDescent="0.3">
      <c r="A650">
        <v>1649</v>
      </c>
      <c r="B650" s="3" t="s">
        <v>321</v>
      </c>
      <c r="C650" s="1" t="s">
        <v>314</v>
      </c>
      <c r="D650" t="s">
        <v>33</v>
      </c>
      <c r="E650" t="s">
        <v>20</v>
      </c>
      <c r="F650" t="s">
        <v>15</v>
      </c>
      <c r="G650" t="s">
        <v>29</v>
      </c>
      <c r="H650" t="s">
        <v>30</v>
      </c>
      <c r="I650">
        <v>1</v>
      </c>
      <c r="J650">
        <v>4.6900000000000004</v>
      </c>
      <c r="K650">
        <v>4.6900000000000004</v>
      </c>
    </row>
    <row r="651" spans="1:11" x14ac:dyDescent="0.3">
      <c r="A651">
        <v>1650</v>
      </c>
      <c r="B651" s="3" t="s">
        <v>104</v>
      </c>
      <c r="C651" s="1" t="s">
        <v>442</v>
      </c>
      <c r="D651" t="s">
        <v>42</v>
      </c>
      <c r="E651" t="s">
        <v>39</v>
      </c>
      <c r="F651" t="s">
        <v>21</v>
      </c>
      <c r="G651" t="s">
        <v>22</v>
      </c>
      <c r="H651" t="s">
        <v>23</v>
      </c>
      <c r="I651">
        <v>2</v>
      </c>
      <c r="J651">
        <v>4.24</v>
      </c>
      <c r="K651">
        <v>8.48</v>
      </c>
    </row>
    <row r="652" spans="1:11" x14ac:dyDescent="0.3">
      <c r="A652">
        <v>1651</v>
      </c>
      <c r="B652" s="3" t="s">
        <v>205</v>
      </c>
      <c r="C652" s="1" t="s">
        <v>654</v>
      </c>
      <c r="D652" t="s">
        <v>38</v>
      </c>
      <c r="E652" t="s">
        <v>51</v>
      </c>
      <c r="F652" t="s">
        <v>15</v>
      </c>
      <c r="G652" t="s">
        <v>70</v>
      </c>
      <c r="H652" t="s">
        <v>71</v>
      </c>
      <c r="I652">
        <v>2</v>
      </c>
      <c r="J652">
        <v>5.43</v>
      </c>
      <c r="K652">
        <v>10.86</v>
      </c>
    </row>
    <row r="653" spans="1:11" x14ac:dyDescent="0.3">
      <c r="A653">
        <v>1652</v>
      </c>
      <c r="B653" s="3" t="s">
        <v>147</v>
      </c>
      <c r="C653" s="1" t="s">
        <v>655</v>
      </c>
      <c r="D653" t="s">
        <v>26</v>
      </c>
      <c r="E653" t="s">
        <v>34</v>
      </c>
      <c r="F653" t="s">
        <v>21</v>
      </c>
      <c r="G653" t="s">
        <v>16</v>
      </c>
      <c r="H653" t="s">
        <v>76</v>
      </c>
      <c r="I653">
        <v>2</v>
      </c>
      <c r="J653">
        <v>3.07</v>
      </c>
      <c r="K653">
        <v>6.14</v>
      </c>
    </row>
    <row r="654" spans="1:11" x14ac:dyDescent="0.3">
      <c r="A654">
        <v>1653</v>
      </c>
      <c r="B654" s="3" t="s">
        <v>384</v>
      </c>
      <c r="C654" s="1" t="s">
        <v>561</v>
      </c>
      <c r="D654" t="s">
        <v>42</v>
      </c>
      <c r="E654" t="s">
        <v>14</v>
      </c>
      <c r="F654" t="s">
        <v>21</v>
      </c>
      <c r="G654" t="s">
        <v>22</v>
      </c>
      <c r="H654" t="s">
        <v>23</v>
      </c>
      <c r="I654">
        <v>4</v>
      </c>
      <c r="J654">
        <v>4.33</v>
      </c>
      <c r="K654">
        <v>17.32</v>
      </c>
    </row>
    <row r="655" spans="1:11" x14ac:dyDescent="0.3">
      <c r="A655">
        <v>1654</v>
      </c>
      <c r="B655" s="3" t="s">
        <v>303</v>
      </c>
      <c r="C655" s="1" t="s">
        <v>656</v>
      </c>
      <c r="D655" t="s">
        <v>26</v>
      </c>
      <c r="E655" t="s">
        <v>14</v>
      </c>
      <c r="F655" t="s">
        <v>15</v>
      </c>
      <c r="G655" t="s">
        <v>22</v>
      </c>
      <c r="H655" t="s">
        <v>23</v>
      </c>
      <c r="I655">
        <v>1</v>
      </c>
      <c r="J655">
        <v>2.52</v>
      </c>
      <c r="K655">
        <v>2.52</v>
      </c>
    </row>
    <row r="656" spans="1:11" x14ac:dyDescent="0.3">
      <c r="A656">
        <v>1655</v>
      </c>
      <c r="B656" s="3" t="s">
        <v>120</v>
      </c>
      <c r="C656" s="1" t="s">
        <v>657</v>
      </c>
      <c r="D656" t="s">
        <v>33</v>
      </c>
      <c r="E656" t="s">
        <v>20</v>
      </c>
      <c r="F656" t="s">
        <v>28</v>
      </c>
      <c r="G656" t="s">
        <v>29</v>
      </c>
      <c r="H656" t="s">
        <v>52</v>
      </c>
      <c r="I656">
        <v>5</v>
      </c>
      <c r="J656">
        <v>5.62</v>
      </c>
      <c r="K656">
        <v>28.1</v>
      </c>
    </row>
    <row r="657" spans="1:11" x14ac:dyDescent="0.3">
      <c r="A657">
        <v>1656</v>
      </c>
      <c r="B657" s="3" t="s">
        <v>355</v>
      </c>
      <c r="C657" s="1" t="s">
        <v>658</v>
      </c>
      <c r="D657" t="s">
        <v>38</v>
      </c>
      <c r="E657" t="s">
        <v>39</v>
      </c>
      <c r="F657" t="s">
        <v>15</v>
      </c>
      <c r="G657" t="s">
        <v>16</v>
      </c>
      <c r="H657" t="s">
        <v>76</v>
      </c>
      <c r="I657">
        <v>5</v>
      </c>
      <c r="J657">
        <v>4.58</v>
      </c>
      <c r="K657">
        <v>22.9</v>
      </c>
    </row>
    <row r="658" spans="1:11" x14ac:dyDescent="0.3">
      <c r="A658">
        <v>1657</v>
      </c>
      <c r="B658" s="3" t="s">
        <v>145</v>
      </c>
      <c r="C658" s="1" t="s">
        <v>455</v>
      </c>
      <c r="D658" t="s">
        <v>42</v>
      </c>
      <c r="E658" t="s">
        <v>79</v>
      </c>
      <c r="F658" t="s">
        <v>28</v>
      </c>
      <c r="G658" t="s">
        <v>16</v>
      </c>
      <c r="H658" t="s">
        <v>76</v>
      </c>
      <c r="I658">
        <v>4</v>
      </c>
      <c r="J658">
        <v>5.0999999999999996</v>
      </c>
      <c r="K658">
        <v>20.399999999999999</v>
      </c>
    </row>
    <row r="659" spans="1:11" x14ac:dyDescent="0.3">
      <c r="A659">
        <v>1658</v>
      </c>
      <c r="B659" s="3" t="s">
        <v>243</v>
      </c>
      <c r="C659" s="1" t="s">
        <v>659</v>
      </c>
      <c r="D659" t="s">
        <v>48</v>
      </c>
      <c r="E659" t="s">
        <v>39</v>
      </c>
      <c r="F659" t="s">
        <v>15</v>
      </c>
      <c r="G659" t="s">
        <v>16</v>
      </c>
      <c r="H659" t="s">
        <v>17</v>
      </c>
      <c r="I659">
        <v>4</v>
      </c>
      <c r="J659">
        <v>5.87</v>
      </c>
      <c r="K659">
        <v>23.48</v>
      </c>
    </row>
    <row r="660" spans="1:11" x14ac:dyDescent="0.3">
      <c r="A660">
        <v>1659</v>
      </c>
      <c r="B660" s="3" t="s">
        <v>545</v>
      </c>
      <c r="C660" s="1" t="s">
        <v>660</v>
      </c>
      <c r="D660" t="s">
        <v>13</v>
      </c>
      <c r="E660" t="s">
        <v>14</v>
      </c>
      <c r="F660" t="s">
        <v>21</v>
      </c>
      <c r="G660" t="s">
        <v>16</v>
      </c>
      <c r="H660" t="s">
        <v>35</v>
      </c>
      <c r="I660">
        <v>3</v>
      </c>
      <c r="J660">
        <v>4.28</v>
      </c>
      <c r="K660">
        <v>12.84</v>
      </c>
    </row>
    <row r="661" spans="1:11" x14ac:dyDescent="0.3">
      <c r="A661">
        <v>1660</v>
      </c>
      <c r="B661" s="3" t="s">
        <v>661</v>
      </c>
      <c r="C661" s="1" t="s">
        <v>662</v>
      </c>
      <c r="D661" t="s">
        <v>13</v>
      </c>
      <c r="E661" t="s">
        <v>51</v>
      </c>
      <c r="F661" t="s">
        <v>21</v>
      </c>
      <c r="G661" t="s">
        <v>29</v>
      </c>
      <c r="H661" t="s">
        <v>30</v>
      </c>
      <c r="I661">
        <v>3</v>
      </c>
      <c r="J661">
        <v>4.88</v>
      </c>
      <c r="K661">
        <v>14.64</v>
      </c>
    </row>
    <row r="662" spans="1:11" x14ac:dyDescent="0.3">
      <c r="A662">
        <v>1661</v>
      </c>
      <c r="B662" s="3" t="s">
        <v>305</v>
      </c>
      <c r="C662" s="1" t="s">
        <v>338</v>
      </c>
      <c r="D662" t="s">
        <v>48</v>
      </c>
      <c r="E662" t="s">
        <v>34</v>
      </c>
      <c r="F662" t="s">
        <v>15</v>
      </c>
      <c r="G662" t="s">
        <v>22</v>
      </c>
      <c r="H662" t="s">
        <v>23</v>
      </c>
      <c r="I662">
        <v>1</v>
      </c>
      <c r="J662">
        <v>2.08</v>
      </c>
      <c r="K662">
        <v>2.08</v>
      </c>
    </row>
    <row r="663" spans="1:11" x14ac:dyDescent="0.3">
      <c r="A663">
        <v>1662</v>
      </c>
      <c r="B663" s="3" t="s">
        <v>240</v>
      </c>
      <c r="C663" s="1" t="s">
        <v>115</v>
      </c>
      <c r="D663" t="s">
        <v>48</v>
      </c>
      <c r="E663" t="s">
        <v>20</v>
      </c>
      <c r="F663" t="s">
        <v>21</v>
      </c>
      <c r="G663" t="s">
        <v>29</v>
      </c>
      <c r="H663" t="s">
        <v>52</v>
      </c>
      <c r="I663">
        <v>4</v>
      </c>
      <c r="J663">
        <v>3.66</v>
      </c>
      <c r="K663">
        <v>14.64</v>
      </c>
    </row>
    <row r="664" spans="1:11" x14ac:dyDescent="0.3">
      <c r="A664">
        <v>1663</v>
      </c>
      <c r="B664" s="3" t="s">
        <v>422</v>
      </c>
      <c r="C664" s="1" t="s">
        <v>663</v>
      </c>
      <c r="D664" t="s">
        <v>13</v>
      </c>
      <c r="E664" t="s">
        <v>51</v>
      </c>
      <c r="F664" t="s">
        <v>15</v>
      </c>
      <c r="G664" t="s">
        <v>29</v>
      </c>
      <c r="H664" t="s">
        <v>57</v>
      </c>
      <c r="I664">
        <v>4</v>
      </c>
      <c r="J664">
        <v>2.94</v>
      </c>
      <c r="K664">
        <v>11.76</v>
      </c>
    </row>
    <row r="665" spans="1:11" x14ac:dyDescent="0.3">
      <c r="A665">
        <v>1664</v>
      </c>
      <c r="B665" s="3" t="s">
        <v>303</v>
      </c>
      <c r="C665" s="1" t="s">
        <v>56</v>
      </c>
      <c r="D665" t="s">
        <v>26</v>
      </c>
      <c r="E665" t="s">
        <v>14</v>
      </c>
      <c r="F665" t="s">
        <v>21</v>
      </c>
      <c r="G665" t="s">
        <v>70</v>
      </c>
      <c r="H665" t="s">
        <v>71</v>
      </c>
      <c r="I665">
        <v>1</v>
      </c>
      <c r="J665">
        <v>5.04</v>
      </c>
      <c r="K665">
        <v>5.04</v>
      </c>
    </row>
    <row r="666" spans="1:11" x14ac:dyDescent="0.3">
      <c r="A666">
        <v>1665</v>
      </c>
      <c r="B666" s="3" t="s">
        <v>487</v>
      </c>
      <c r="C666" s="1" t="s">
        <v>664</v>
      </c>
      <c r="D666" t="s">
        <v>26</v>
      </c>
      <c r="E666" t="s">
        <v>20</v>
      </c>
      <c r="F666" t="s">
        <v>15</v>
      </c>
      <c r="G666" t="s">
        <v>29</v>
      </c>
      <c r="H666" t="s">
        <v>57</v>
      </c>
      <c r="I666">
        <v>2</v>
      </c>
      <c r="J666">
        <v>4.87</v>
      </c>
      <c r="K666">
        <v>9.74</v>
      </c>
    </row>
    <row r="667" spans="1:11" x14ac:dyDescent="0.3">
      <c r="A667">
        <v>1666</v>
      </c>
      <c r="B667" s="3" t="s">
        <v>31</v>
      </c>
      <c r="C667" s="1" t="s">
        <v>456</v>
      </c>
      <c r="D667" t="s">
        <v>33</v>
      </c>
      <c r="E667" t="s">
        <v>34</v>
      </c>
      <c r="F667" t="s">
        <v>28</v>
      </c>
      <c r="G667" t="s">
        <v>29</v>
      </c>
      <c r="H667" t="s">
        <v>57</v>
      </c>
      <c r="I667">
        <v>2</v>
      </c>
      <c r="J667">
        <v>5.96</v>
      </c>
      <c r="K667">
        <v>11.92</v>
      </c>
    </row>
    <row r="668" spans="1:11" x14ac:dyDescent="0.3">
      <c r="A668">
        <v>1667</v>
      </c>
      <c r="B668" s="3" t="s">
        <v>234</v>
      </c>
      <c r="C668" s="1" t="s">
        <v>482</v>
      </c>
      <c r="D668" t="s">
        <v>33</v>
      </c>
      <c r="E668" t="s">
        <v>51</v>
      </c>
      <c r="F668" t="s">
        <v>28</v>
      </c>
      <c r="G668" t="s">
        <v>29</v>
      </c>
      <c r="H668" t="s">
        <v>52</v>
      </c>
      <c r="I668">
        <v>1</v>
      </c>
      <c r="J668">
        <v>3.09</v>
      </c>
      <c r="K668">
        <v>3.09</v>
      </c>
    </row>
    <row r="669" spans="1:11" x14ac:dyDescent="0.3">
      <c r="A669">
        <v>1668</v>
      </c>
      <c r="B669" s="3" t="s">
        <v>199</v>
      </c>
      <c r="C669" s="1" t="s">
        <v>665</v>
      </c>
      <c r="D669" t="s">
        <v>13</v>
      </c>
      <c r="E669" t="s">
        <v>79</v>
      </c>
      <c r="F669" t="s">
        <v>21</v>
      </c>
      <c r="G669" t="s">
        <v>70</v>
      </c>
      <c r="H669" t="s">
        <v>90</v>
      </c>
      <c r="I669">
        <v>5</v>
      </c>
      <c r="J669">
        <v>2.41</v>
      </c>
      <c r="K669">
        <v>12.05</v>
      </c>
    </row>
    <row r="670" spans="1:11" x14ac:dyDescent="0.3">
      <c r="A670">
        <v>1669</v>
      </c>
      <c r="B670" s="3" t="s">
        <v>648</v>
      </c>
      <c r="C670" s="1" t="s">
        <v>666</v>
      </c>
      <c r="D670" t="s">
        <v>26</v>
      </c>
      <c r="E670" t="s">
        <v>79</v>
      </c>
      <c r="F670" t="s">
        <v>28</v>
      </c>
      <c r="G670" t="s">
        <v>22</v>
      </c>
      <c r="H670" t="s">
        <v>23</v>
      </c>
      <c r="I670">
        <v>4</v>
      </c>
      <c r="J670">
        <v>2.4500000000000002</v>
      </c>
      <c r="K670">
        <v>9.8000000000000007</v>
      </c>
    </row>
    <row r="671" spans="1:11" x14ac:dyDescent="0.3">
      <c r="A671">
        <v>1670</v>
      </c>
      <c r="B671" s="3" t="s">
        <v>145</v>
      </c>
      <c r="C671" s="1" t="s">
        <v>667</v>
      </c>
      <c r="D671" t="s">
        <v>42</v>
      </c>
      <c r="E671" t="s">
        <v>79</v>
      </c>
      <c r="F671" t="s">
        <v>15</v>
      </c>
      <c r="G671" t="s">
        <v>29</v>
      </c>
      <c r="H671" t="s">
        <v>30</v>
      </c>
      <c r="I671">
        <v>4</v>
      </c>
      <c r="J671">
        <v>5.92</v>
      </c>
      <c r="K671">
        <v>23.68</v>
      </c>
    </row>
    <row r="672" spans="1:11" x14ac:dyDescent="0.3">
      <c r="A672">
        <v>1671</v>
      </c>
      <c r="B672" s="3" t="s">
        <v>181</v>
      </c>
      <c r="C672" s="1" t="s">
        <v>668</v>
      </c>
      <c r="D672" t="s">
        <v>26</v>
      </c>
      <c r="E672" t="s">
        <v>20</v>
      </c>
      <c r="F672" t="s">
        <v>28</v>
      </c>
      <c r="G672" t="s">
        <v>70</v>
      </c>
      <c r="H672" t="s">
        <v>95</v>
      </c>
      <c r="I672">
        <v>3</v>
      </c>
      <c r="J672">
        <v>4.95</v>
      </c>
      <c r="K672">
        <v>14.85</v>
      </c>
    </row>
    <row r="673" spans="1:11" x14ac:dyDescent="0.3">
      <c r="A673">
        <v>1672</v>
      </c>
      <c r="B673" s="3" t="s">
        <v>74</v>
      </c>
      <c r="C673" s="1" t="s">
        <v>585</v>
      </c>
      <c r="D673" t="s">
        <v>33</v>
      </c>
      <c r="E673" t="s">
        <v>27</v>
      </c>
      <c r="F673" t="s">
        <v>28</v>
      </c>
      <c r="G673" t="s">
        <v>16</v>
      </c>
      <c r="H673" t="s">
        <v>35</v>
      </c>
      <c r="I673">
        <v>5</v>
      </c>
      <c r="J673">
        <v>4.4000000000000004</v>
      </c>
      <c r="K673">
        <v>22</v>
      </c>
    </row>
    <row r="674" spans="1:11" x14ac:dyDescent="0.3">
      <c r="A674">
        <v>1673</v>
      </c>
      <c r="B674" s="3" t="s">
        <v>268</v>
      </c>
      <c r="C674" s="1" t="s">
        <v>669</v>
      </c>
      <c r="D674" t="s">
        <v>33</v>
      </c>
      <c r="E674" t="s">
        <v>51</v>
      </c>
      <c r="F674" t="s">
        <v>28</v>
      </c>
      <c r="G674" t="s">
        <v>29</v>
      </c>
      <c r="H674" t="s">
        <v>57</v>
      </c>
      <c r="I674">
        <v>3</v>
      </c>
      <c r="J674">
        <v>4.84</v>
      </c>
      <c r="K674">
        <v>14.52</v>
      </c>
    </row>
    <row r="675" spans="1:11" x14ac:dyDescent="0.3">
      <c r="A675">
        <v>1674</v>
      </c>
      <c r="B675" s="3" t="s">
        <v>153</v>
      </c>
      <c r="C675" s="1" t="s">
        <v>670</v>
      </c>
      <c r="D675" t="s">
        <v>13</v>
      </c>
      <c r="E675" t="s">
        <v>14</v>
      </c>
      <c r="F675" t="s">
        <v>21</v>
      </c>
      <c r="G675" t="s">
        <v>22</v>
      </c>
      <c r="H675" t="s">
        <v>23</v>
      </c>
      <c r="I675">
        <v>2</v>
      </c>
      <c r="J675">
        <v>3.9</v>
      </c>
      <c r="K675">
        <v>7.8</v>
      </c>
    </row>
    <row r="676" spans="1:11" x14ac:dyDescent="0.3">
      <c r="A676">
        <v>1675</v>
      </c>
      <c r="B676" s="3" t="s">
        <v>208</v>
      </c>
      <c r="C676" s="1" t="s">
        <v>671</v>
      </c>
      <c r="D676" t="s">
        <v>42</v>
      </c>
      <c r="E676" t="s">
        <v>34</v>
      </c>
      <c r="F676" t="s">
        <v>21</v>
      </c>
      <c r="G676" t="s">
        <v>16</v>
      </c>
      <c r="H676" t="s">
        <v>35</v>
      </c>
      <c r="I676">
        <v>1</v>
      </c>
      <c r="J676">
        <v>2.25</v>
      </c>
      <c r="K676">
        <v>2.25</v>
      </c>
    </row>
    <row r="677" spans="1:11" x14ac:dyDescent="0.3">
      <c r="A677">
        <v>1676</v>
      </c>
      <c r="B677" s="3" t="s">
        <v>91</v>
      </c>
      <c r="C677" s="1" t="s">
        <v>628</v>
      </c>
      <c r="D677" t="s">
        <v>26</v>
      </c>
      <c r="E677" t="s">
        <v>51</v>
      </c>
      <c r="F677" t="s">
        <v>28</v>
      </c>
      <c r="G677" t="s">
        <v>22</v>
      </c>
      <c r="H677" t="s">
        <v>23</v>
      </c>
      <c r="I677">
        <v>1</v>
      </c>
      <c r="J677">
        <v>5.91</v>
      </c>
      <c r="K677">
        <v>5.91</v>
      </c>
    </row>
    <row r="678" spans="1:11" x14ac:dyDescent="0.3">
      <c r="A678">
        <v>1677</v>
      </c>
      <c r="B678" s="3" t="s">
        <v>102</v>
      </c>
      <c r="C678" s="1" t="s">
        <v>526</v>
      </c>
      <c r="D678" t="s">
        <v>33</v>
      </c>
      <c r="E678" t="s">
        <v>14</v>
      </c>
      <c r="F678" t="s">
        <v>21</v>
      </c>
      <c r="G678" t="s">
        <v>70</v>
      </c>
      <c r="H678" t="s">
        <v>90</v>
      </c>
      <c r="I678">
        <v>3</v>
      </c>
      <c r="J678">
        <v>3.59</v>
      </c>
      <c r="K678">
        <v>10.77</v>
      </c>
    </row>
    <row r="679" spans="1:11" x14ac:dyDescent="0.3">
      <c r="A679">
        <v>1678</v>
      </c>
      <c r="B679" s="3" t="s">
        <v>151</v>
      </c>
      <c r="C679" s="1" t="s">
        <v>672</v>
      </c>
      <c r="D679" t="s">
        <v>13</v>
      </c>
      <c r="E679" t="s">
        <v>34</v>
      </c>
      <c r="F679" t="s">
        <v>28</v>
      </c>
      <c r="G679" t="s">
        <v>29</v>
      </c>
      <c r="H679" t="s">
        <v>57</v>
      </c>
      <c r="I679">
        <v>2</v>
      </c>
      <c r="J679">
        <v>5.98</v>
      </c>
      <c r="K679">
        <v>11.96</v>
      </c>
    </row>
    <row r="680" spans="1:11" x14ac:dyDescent="0.3">
      <c r="A680">
        <v>1679</v>
      </c>
      <c r="B680" s="3" t="s">
        <v>443</v>
      </c>
      <c r="C680" s="1" t="s">
        <v>514</v>
      </c>
      <c r="D680" t="s">
        <v>42</v>
      </c>
      <c r="E680" t="s">
        <v>79</v>
      </c>
      <c r="F680" t="s">
        <v>28</v>
      </c>
      <c r="G680" t="s">
        <v>22</v>
      </c>
      <c r="H680" t="s">
        <v>23</v>
      </c>
      <c r="I680">
        <v>1</v>
      </c>
      <c r="J680">
        <v>5.76</v>
      </c>
      <c r="K680">
        <v>5.76</v>
      </c>
    </row>
    <row r="681" spans="1:11" x14ac:dyDescent="0.3">
      <c r="A681">
        <v>1680</v>
      </c>
      <c r="B681" s="3" t="s">
        <v>229</v>
      </c>
      <c r="C681" s="1" t="s">
        <v>347</v>
      </c>
      <c r="D681" t="s">
        <v>48</v>
      </c>
      <c r="E681" t="s">
        <v>79</v>
      </c>
      <c r="F681" t="s">
        <v>15</v>
      </c>
      <c r="G681" t="s">
        <v>16</v>
      </c>
      <c r="H681" t="s">
        <v>35</v>
      </c>
      <c r="I681">
        <v>1</v>
      </c>
      <c r="J681">
        <v>5.34</v>
      </c>
      <c r="K681">
        <v>5.34</v>
      </c>
    </row>
    <row r="682" spans="1:11" x14ac:dyDescent="0.3">
      <c r="A682">
        <v>1681</v>
      </c>
      <c r="B682" s="3" t="s">
        <v>100</v>
      </c>
      <c r="C682" s="1" t="s">
        <v>306</v>
      </c>
      <c r="D682" t="s">
        <v>48</v>
      </c>
      <c r="E682" t="s">
        <v>51</v>
      </c>
      <c r="F682" t="s">
        <v>15</v>
      </c>
      <c r="G682" t="s">
        <v>16</v>
      </c>
      <c r="H682" t="s">
        <v>17</v>
      </c>
      <c r="I682">
        <v>4</v>
      </c>
      <c r="J682">
        <v>3.76</v>
      </c>
      <c r="K682">
        <v>15.04</v>
      </c>
    </row>
    <row r="683" spans="1:11" x14ac:dyDescent="0.3">
      <c r="A683">
        <v>1682</v>
      </c>
      <c r="B683" s="3" t="s">
        <v>489</v>
      </c>
      <c r="C683" s="1" t="s">
        <v>673</v>
      </c>
      <c r="D683" t="s">
        <v>26</v>
      </c>
      <c r="E683" t="s">
        <v>27</v>
      </c>
      <c r="F683" t="s">
        <v>15</v>
      </c>
      <c r="G683" t="s">
        <v>70</v>
      </c>
      <c r="H683" t="s">
        <v>95</v>
      </c>
      <c r="I683">
        <v>3</v>
      </c>
      <c r="J683">
        <v>2.91</v>
      </c>
      <c r="K683">
        <v>8.73</v>
      </c>
    </row>
    <row r="684" spans="1:11" x14ac:dyDescent="0.3">
      <c r="A684">
        <v>1683</v>
      </c>
      <c r="B684" s="3" t="s">
        <v>192</v>
      </c>
      <c r="C684" s="1" t="s">
        <v>674</v>
      </c>
      <c r="D684" t="s">
        <v>13</v>
      </c>
      <c r="E684" t="s">
        <v>27</v>
      </c>
      <c r="F684" t="s">
        <v>21</v>
      </c>
      <c r="G684" t="s">
        <v>29</v>
      </c>
      <c r="H684" t="s">
        <v>30</v>
      </c>
      <c r="I684">
        <v>3</v>
      </c>
      <c r="J684">
        <v>3.2</v>
      </c>
      <c r="K684">
        <v>9.6</v>
      </c>
    </row>
    <row r="685" spans="1:11" x14ac:dyDescent="0.3">
      <c r="A685">
        <v>1684</v>
      </c>
      <c r="B685" s="3" t="s">
        <v>206</v>
      </c>
      <c r="C685" s="1" t="s">
        <v>675</v>
      </c>
      <c r="D685" t="s">
        <v>33</v>
      </c>
      <c r="E685" t="s">
        <v>27</v>
      </c>
      <c r="F685" t="s">
        <v>15</v>
      </c>
      <c r="G685" t="s">
        <v>70</v>
      </c>
      <c r="H685" t="s">
        <v>90</v>
      </c>
      <c r="I685">
        <v>3</v>
      </c>
      <c r="J685">
        <v>2.4700000000000002</v>
      </c>
      <c r="K685">
        <v>7.41</v>
      </c>
    </row>
    <row r="686" spans="1:11" x14ac:dyDescent="0.3">
      <c r="A686">
        <v>1685</v>
      </c>
      <c r="B686" s="3" t="s">
        <v>334</v>
      </c>
      <c r="C686" s="1" t="s">
        <v>676</v>
      </c>
      <c r="D686" t="s">
        <v>38</v>
      </c>
      <c r="E686" t="s">
        <v>14</v>
      </c>
      <c r="F686" t="s">
        <v>15</v>
      </c>
      <c r="G686" t="s">
        <v>70</v>
      </c>
      <c r="H686" t="s">
        <v>71</v>
      </c>
      <c r="I686">
        <v>3</v>
      </c>
      <c r="J686">
        <v>5.27</v>
      </c>
      <c r="K686">
        <v>15.81</v>
      </c>
    </row>
    <row r="687" spans="1:11" x14ac:dyDescent="0.3">
      <c r="A687">
        <v>1686</v>
      </c>
      <c r="B687" s="3" t="s">
        <v>366</v>
      </c>
      <c r="C687" s="1" t="s">
        <v>87</v>
      </c>
      <c r="D687" t="s">
        <v>38</v>
      </c>
      <c r="E687" t="s">
        <v>51</v>
      </c>
      <c r="F687" t="s">
        <v>28</v>
      </c>
      <c r="G687" t="s">
        <v>22</v>
      </c>
      <c r="H687" t="s">
        <v>23</v>
      </c>
      <c r="I687">
        <v>4</v>
      </c>
      <c r="J687">
        <v>5.75</v>
      </c>
      <c r="K687">
        <v>23</v>
      </c>
    </row>
    <row r="688" spans="1:11" x14ac:dyDescent="0.3">
      <c r="A688">
        <v>1687</v>
      </c>
      <c r="B688" s="3" t="s">
        <v>153</v>
      </c>
      <c r="C688" s="1" t="s">
        <v>677</v>
      </c>
      <c r="D688" t="s">
        <v>13</v>
      </c>
      <c r="E688" t="s">
        <v>14</v>
      </c>
      <c r="F688" t="s">
        <v>15</v>
      </c>
      <c r="G688" t="s">
        <v>16</v>
      </c>
      <c r="H688" t="s">
        <v>17</v>
      </c>
      <c r="I688">
        <v>1</v>
      </c>
      <c r="J688">
        <v>5.07</v>
      </c>
      <c r="K688">
        <v>5.07</v>
      </c>
    </row>
    <row r="689" spans="1:11" x14ac:dyDescent="0.3">
      <c r="A689">
        <v>1688</v>
      </c>
      <c r="B689" s="3" t="s">
        <v>334</v>
      </c>
      <c r="C689" s="1" t="s">
        <v>678</v>
      </c>
      <c r="D689" t="s">
        <v>38</v>
      </c>
      <c r="E689" t="s">
        <v>14</v>
      </c>
      <c r="F689" t="s">
        <v>15</v>
      </c>
      <c r="G689" t="s">
        <v>70</v>
      </c>
      <c r="H689" t="s">
        <v>71</v>
      </c>
      <c r="I689">
        <v>3</v>
      </c>
      <c r="J689">
        <v>5.87</v>
      </c>
      <c r="K689">
        <v>17.61</v>
      </c>
    </row>
    <row r="690" spans="1:11" x14ac:dyDescent="0.3">
      <c r="A690">
        <v>1689</v>
      </c>
      <c r="B690" s="3" t="s">
        <v>68</v>
      </c>
      <c r="C690" s="1" t="s">
        <v>679</v>
      </c>
      <c r="D690" t="s">
        <v>13</v>
      </c>
      <c r="E690" t="s">
        <v>27</v>
      </c>
      <c r="F690" t="s">
        <v>28</v>
      </c>
      <c r="G690" t="s">
        <v>16</v>
      </c>
      <c r="H690" t="s">
        <v>35</v>
      </c>
      <c r="I690">
        <v>1</v>
      </c>
      <c r="J690">
        <v>4.43</v>
      </c>
      <c r="K690">
        <v>4.43</v>
      </c>
    </row>
    <row r="691" spans="1:11" x14ac:dyDescent="0.3">
      <c r="A691">
        <v>1690</v>
      </c>
      <c r="B691" s="3" t="s">
        <v>297</v>
      </c>
      <c r="C691" s="1" t="s">
        <v>680</v>
      </c>
      <c r="D691" t="s">
        <v>42</v>
      </c>
      <c r="E691" t="s">
        <v>14</v>
      </c>
      <c r="F691" t="s">
        <v>21</v>
      </c>
      <c r="G691" t="s">
        <v>70</v>
      </c>
      <c r="H691" t="s">
        <v>71</v>
      </c>
      <c r="I691">
        <v>2</v>
      </c>
      <c r="J691">
        <v>2.56</v>
      </c>
      <c r="K691">
        <v>5.12</v>
      </c>
    </row>
    <row r="692" spans="1:11" x14ac:dyDescent="0.3">
      <c r="A692">
        <v>1691</v>
      </c>
      <c r="B692" s="3" t="s">
        <v>372</v>
      </c>
      <c r="C692" s="1" t="s">
        <v>681</v>
      </c>
      <c r="D692" t="s">
        <v>42</v>
      </c>
      <c r="E692" t="s">
        <v>34</v>
      </c>
      <c r="F692" t="s">
        <v>15</v>
      </c>
      <c r="G692" t="s">
        <v>70</v>
      </c>
      <c r="H692" t="s">
        <v>95</v>
      </c>
      <c r="I692">
        <v>2</v>
      </c>
      <c r="J692">
        <v>4.62</v>
      </c>
      <c r="K692">
        <v>9.24</v>
      </c>
    </row>
    <row r="693" spans="1:11" x14ac:dyDescent="0.3">
      <c r="A693">
        <v>1692</v>
      </c>
      <c r="B693" s="3" t="s">
        <v>46</v>
      </c>
      <c r="C693" s="1" t="s">
        <v>682</v>
      </c>
      <c r="D693" t="s">
        <v>48</v>
      </c>
      <c r="E693" t="s">
        <v>27</v>
      </c>
      <c r="F693" t="s">
        <v>15</v>
      </c>
      <c r="G693" t="s">
        <v>16</v>
      </c>
      <c r="H693" t="s">
        <v>35</v>
      </c>
      <c r="I693">
        <v>4</v>
      </c>
      <c r="J693">
        <v>4.71</v>
      </c>
      <c r="K693">
        <v>18.84</v>
      </c>
    </row>
    <row r="694" spans="1:11" x14ac:dyDescent="0.3">
      <c r="A694">
        <v>1693</v>
      </c>
      <c r="B694" s="3" t="s">
        <v>199</v>
      </c>
      <c r="C694" s="1" t="s">
        <v>683</v>
      </c>
      <c r="D694" t="s">
        <v>13</v>
      </c>
      <c r="E694" t="s">
        <v>79</v>
      </c>
      <c r="F694" t="s">
        <v>28</v>
      </c>
      <c r="G694" t="s">
        <v>70</v>
      </c>
      <c r="H694" t="s">
        <v>95</v>
      </c>
      <c r="I694">
        <v>3</v>
      </c>
      <c r="J694">
        <v>4.22</v>
      </c>
      <c r="K694">
        <v>12.66</v>
      </c>
    </row>
    <row r="695" spans="1:11" x14ac:dyDescent="0.3">
      <c r="A695">
        <v>1694</v>
      </c>
      <c r="B695" s="3" t="s">
        <v>443</v>
      </c>
      <c r="C695" s="1" t="s">
        <v>684</v>
      </c>
      <c r="D695" t="s">
        <v>42</v>
      </c>
      <c r="E695" t="s">
        <v>79</v>
      </c>
      <c r="F695" t="s">
        <v>28</v>
      </c>
      <c r="G695" t="s">
        <v>16</v>
      </c>
      <c r="H695" t="s">
        <v>17</v>
      </c>
      <c r="I695">
        <v>3</v>
      </c>
      <c r="J695">
        <v>4.45</v>
      </c>
      <c r="K695">
        <v>13.35</v>
      </c>
    </row>
    <row r="696" spans="1:11" x14ac:dyDescent="0.3">
      <c r="A696">
        <v>1695</v>
      </c>
      <c r="B696" s="3" t="s">
        <v>31</v>
      </c>
      <c r="C696" s="1" t="s">
        <v>685</v>
      </c>
      <c r="D696" t="s">
        <v>33</v>
      </c>
      <c r="E696" t="s">
        <v>34</v>
      </c>
      <c r="F696" t="s">
        <v>15</v>
      </c>
      <c r="G696" t="s">
        <v>70</v>
      </c>
      <c r="H696" t="s">
        <v>71</v>
      </c>
      <c r="I696">
        <v>5</v>
      </c>
      <c r="J696">
        <v>4.33</v>
      </c>
      <c r="K696">
        <v>21.65</v>
      </c>
    </row>
    <row r="697" spans="1:11" x14ac:dyDescent="0.3">
      <c r="A697">
        <v>1696</v>
      </c>
      <c r="B697" s="3" t="s">
        <v>256</v>
      </c>
      <c r="C697" s="1" t="s">
        <v>686</v>
      </c>
      <c r="D697" t="s">
        <v>33</v>
      </c>
      <c r="E697" t="s">
        <v>27</v>
      </c>
      <c r="F697" t="s">
        <v>21</v>
      </c>
      <c r="G697" t="s">
        <v>70</v>
      </c>
      <c r="H697" t="s">
        <v>90</v>
      </c>
      <c r="I697">
        <v>4</v>
      </c>
      <c r="J697">
        <v>2.4500000000000002</v>
      </c>
      <c r="K697">
        <v>9.8000000000000007</v>
      </c>
    </row>
    <row r="698" spans="1:11" x14ac:dyDescent="0.3">
      <c r="A698">
        <v>1697</v>
      </c>
      <c r="B698" s="3" t="s">
        <v>687</v>
      </c>
      <c r="C698" s="1" t="s">
        <v>408</v>
      </c>
      <c r="D698" t="s">
        <v>48</v>
      </c>
      <c r="E698" t="s">
        <v>79</v>
      </c>
      <c r="F698" t="s">
        <v>21</v>
      </c>
      <c r="G698" t="s">
        <v>70</v>
      </c>
      <c r="H698" t="s">
        <v>71</v>
      </c>
      <c r="I698">
        <v>2</v>
      </c>
      <c r="J698">
        <v>3.75</v>
      </c>
      <c r="K698">
        <v>7.5</v>
      </c>
    </row>
    <row r="699" spans="1:11" x14ac:dyDescent="0.3">
      <c r="A699">
        <v>1698</v>
      </c>
      <c r="B699" s="3" t="s">
        <v>82</v>
      </c>
      <c r="C699" s="1" t="s">
        <v>688</v>
      </c>
      <c r="D699" t="s">
        <v>48</v>
      </c>
      <c r="E699" t="s">
        <v>20</v>
      </c>
      <c r="F699" t="s">
        <v>28</v>
      </c>
      <c r="G699" t="s">
        <v>22</v>
      </c>
      <c r="H699" t="s">
        <v>23</v>
      </c>
      <c r="I699">
        <v>3</v>
      </c>
      <c r="J699">
        <v>5.72</v>
      </c>
      <c r="K699">
        <v>17.16</v>
      </c>
    </row>
    <row r="700" spans="1:11" x14ac:dyDescent="0.3">
      <c r="A700">
        <v>1699</v>
      </c>
      <c r="B700" s="3" t="s">
        <v>24</v>
      </c>
      <c r="C700" s="1" t="s">
        <v>228</v>
      </c>
      <c r="D700" t="s">
        <v>26</v>
      </c>
      <c r="E700" t="s">
        <v>27</v>
      </c>
      <c r="F700" t="s">
        <v>15</v>
      </c>
      <c r="G700" t="s">
        <v>22</v>
      </c>
      <c r="H700" t="s">
        <v>23</v>
      </c>
      <c r="I700">
        <v>3</v>
      </c>
      <c r="J700">
        <v>4.04</v>
      </c>
      <c r="K700">
        <v>12.12</v>
      </c>
    </row>
    <row r="701" spans="1:11" x14ac:dyDescent="0.3">
      <c r="A701">
        <v>1700</v>
      </c>
      <c r="B701" s="3" t="s">
        <v>224</v>
      </c>
      <c r="C701" s="1" t="s">
        <v>689</v>
      </c>
      <c r="D701" t="s">
        <v>33</v>
      </c>
      <c r="E701" t="s">
        <v>14</v>
      </c>
      <c r="F701" t="s">
        <v>15</v>
      </c>
      <c r="G701" t="s">
        <v>16</v>
      </c>
      <c r="H701" t="s">
        <v>76</v>
      </c>
      <c r="I701">
        <v>5</v>
      </c>
      <c r="J701">
        <v>3.27</v>
      </c>
      <c r="K701">
        <v>16.350000000000001</v>
      </c>
    </row>
    <row r="702" spans="1:11" x14ac:dyDescent="0.3">
      <c r="A702">
        <v>1701</v>
      </c>
      <c r="B702" s="3" t="s">
        <v>64</v>
      </c>
      <c r="C702" s="1" t="s">
        <v>593</v>
      </c>
      <c r="D702" t="s">
        <v>48</v>
      </c>
      <c r="E702" t="s">
        <v>39</v>
      </c>
      <c r="F702" t="s">
        <v>28</v>
      </c>
      <c r="G702" t="s">
        <v>16</v>
      </c>
      <c r="H702" t="s">
        <v>76</v>
      </c>
      <c r="I702">
        <v>4</v>
      </c>
      <c r="J702">
        <v>3.98</v>
      </c>
      <c r="K702">
        <v>15.92</v>
      </c>
    </row>
    <row r="703" spans="1:11" x14ac:dyDescent="0.3">
      <c r="A703">
        <v>1702</v>
      </c>
      <c r="B703" s="3" t="s">
        <v>690</v>
      </c>
      <c r="C703" s="1" t="s">
        <v>630</v>
      </c>
      <c r="D703" t="s">
        <v>26</v>
      </c>
      <c r="E703" t="s">
        <v>27</v>
      </c>
      <c r="F703" t="s">
        <v>21</v>
      </c>
      <c r="G703" t="s">
        <v>22</v>
      </c>
      <c r="H703" t="s">
        <v>23</v>
      </c>
      <c r="I703">
        <v>5</v>
      </c>
      <c r="J703">
        <v>2.5499999999999998</v>
      </c>
      <c r="K703">
        <v>12.75</v>
      </c>
    </row>
    <row r="704" spans="1:11" x14ac:dyDescent="0.3">
      <c r="A704">
        <v>1703</v>
      </c>
      <c r="B704" s="3" t="s">
        <v>250</v>
      </c>
      <c r="C704" s="1" t="s">
        <v>550</v>
      </c>
      <c r="D704" t="s">
        <v>42</v>
      </c>
      <c r="E704" t="s">
        <v>20</v>
      </c>
      <c r="F704" t="s">
        <v>15</v>
      </c>
      <c r="G704" t="s">
        <v>16</v>
      </c>
      <c r="H704" t="s">
        <v>76</v>
      </c>
      <c r="I704">
        <v>2</v>
      </c>
      <c r="J704">
        <v>5.12</v>
      </c>
      <c r="K704">
        <v>10.24</v>
      </c>
    </row>
    <row r="705" spans="1:11" x14ac:dyDescent="0.3">
      <c r="A705">
        <v>1704</v>
      </c>
      <c r="B705" s="3" t="s">
        <v>489</v>
      </c>
      <c r="C705" s="1" t="s">
        <v>691</v>
      </c>
      <c r="D705" t="s">
        <v>26</v>
      </c>
      <c r="E705" t="s">
        <v>27</v>
      </c>
      <c r="F705" t="s">
        <v>28</v>
      </c>
      <c r="G705" t="s">
        <v>16</v>
      </c>
      <c r="H705" t="s">
        <v>35</v>
      </c>
      <c r="I705">
        <v>3</v>
      </c>
      <c r="J705">
        <v>2.71</v>
      </c>
      <c r="K705">
        <v>8.1300000000000008</v>
      </c>
    </row>
    <row r="706" spans="1:11" x14ac:dyDescent="0.3">
      <c r="A706">
        <v>1705</v>
      </c>
      <c r="B706" s="3" t="s">
        <v>303</v>
      </c>
      <c r="C706" s="1" t="s">
        <v>607</v>
      </c>
      <c r="D706" t="s">
        <v>26</v>
      </c>
      <c r="E706" t="s">
        <v>14</v>
      </c>
      <c r="F706" t="s">
        <v>15</v>
      </c>
      <c r="G706" t="s">
        <v>29</v>
      </c>
      <c r="H706" t="s">
        <v>52</v>
      </c>
      <c r="I706">
        <v>1</v>
      </c>
      <c r="J706">
        <v>2.29</v>
      </c>
      <c r="K706">
        <v>2.29</v>
      </c>
    </row>
    <row r="707" spans="1:11" x14ac:dyDescent="0.3">
      <c r="A707">
        <v>1706</v>
      </c>
      <c r="B707" s="3" t="s">
        <v>18</v>
      </c>
      <c r="C707" s="1" t="s">
        <v>692</v>
      </c>
      <c r="D707" t="s">
        <v>13</v>
      </c>
      <c r="E707" t="s">
        <v>20</v>
      </c>
      <c r="F707" t="s">
        <v>15</v>
      </c>
      <c r="G707" t="s">
        <v>16</v>
      </c>
      <c r="H707" t="s">
        <v>76</v>
      </c>
      <c r="I707">
        <v>5</v>
      </c>
      <c r="J707">
        <v>4.12</v>
      </c>
      <c r="K707">
        <v>20.6</v>
      </c>
    </row>
    <row r="708" spans="1:11" x14ac:dyDescent="0.3">
      <c r="A708">
        <v>1707</v>
      </c>
      <c r="B708" s="3" t="s">
        <v>557</v>
      </c>
      <c r="C708" s="1" t="s">
        <v>515</v>
      </c>
      <c r="D708" t="s">
        <v>13</v>
      </c>
      <c r="E708" t="s">
        <v>34</v>
      </c>
      <c r="F708" t="s">
        <v>21</v>
      </c>
      <c r="G708" t="s">
        <v>16</v>
      </c>
      <c r="H708" t="s">
        <v>17</v>
      </c>
      <c r="I708">
        <v>3</v>
      </c>
      <c r="J708">
        <v>5.41</v>
      </c>
      <c r="K708">
        <v>16.23</v>
      </c>
    </row>
    <row r="709" spans="1:11" x14ac:dyDescent="0.3">
      <c r="A709">
        <v>1708</v>
      </c>
      <c r="B709" s="3" t="s">
        <v>243</v>
      </c>
      <c r="C709" s="1" t="s">
        <v>693</v>
      </c>
      <c r="D709" t="s">
        <v>48</v>
      </c>
      <c r="E709" t="s">
        <v>39</v>
      </c>
      <c r="F709" t="s">
        <v>21</v>
      </c>
      <c r="G709" t="s">
        <v>22</v>
      </c>
      <c r="H709" t="s">
        <v>23</v>
      </c>
      <c r="I709">
        <v>5</v>
      </c>
      <c r="J709">
        <v>3.23</v>
      </c>
      <c r="K709">
        <v>16.149999999999999</v>
      </c>
    </row>
    <row r="710" spans="1:11" x14ac:dyDescent="0.3">
      <c r="A710">
        <v>1709</v>
      </c>
      <c r="B710" s="3" t="s">
        <v>46</v>
      </c>
      <c r="C710" s="1" t="s">
        <v>486</v>
      </c>
      <c r="D710" t="s">
        <v>48</v>
      </c>
      <c r="E710" t="s">
        <v>27</v>
      </c>
      <c r="F710" t="s">
        <v>15</v>
      </c>
      <c r="G710" t="s">
        <v>16</v>
      </c>
      <c r="H710" t="s">
        <v>35</v>
      </c>
      <c r="I710">
        <v>3</v>
      </c>
      <c r="J710">
        <v>2.11</v>
      </c>
      <c r="K710">
        <v>6.33</v>
      </c>
    </row>
    <row r="711" spans="1:11" x14ac:dyDescent="0.3">
      <c r="A711">
        <v>1710</v>
      </c>
      <c r="B711" s="3" t="s">
        <v>213</v>
      </c>
      <c r="C711" s="1" t="s">
        <v>470</v>
      </c>
      <c r="D711" t="s">
        <v>13</v>
      </c>
      <c r="E711" t="s">
        <v>20</v>
      </c>
      <c r="F711" t="s">
        <v>21</v>
      </c>
      <c r="G711" t="s">
        <v>29</v>
      </c>
      <c r="H711" t="s">
        <v>43</v>
      </c>
      <c r="I711">
        <v>5</v>
      </c>
      <c r="J711">
        <v>5.09</v>
      </c>
      <c r="K711">
        <v>25.45</v>
      </c>
    </row>
    <row r="712" spans="1:11" x14ac:dyDescent="0.3">
      <c r="A712">
        <v>1711</v>
      </c>
      <c r="B712" s="3" t="s">
        <v>489</v>
      </c>
      <c r="C712" s="1" t="s">
        <v>356</v>
      </c>
      <c r="D712" t="s">
        <v>26</v>
      </c>
      <c r="E712" t="s">
        <v>27</v>
      </c>
      <c r="F712" t="s">
        <v>15</v>
      </c>
      <c r="G712" t="s">
        <v>16</v>
      </c>
      <c r="H712" t="s">
        <v>76</v>
      </c>
      <c r="I712">
        <v>5</v>
      </c>
      <c r="J712">
        <v>2.64</v>
      </c>
      <c r="K712">
        <v>13.2</v>
      </c>
    </row>
    <row r="713" spans="1:11" x14ac:dyDescent="0.3">
      <c r="A713">
        <v>1712</v>
      </c>
      <c r="B713" s="3" t="s">
        <v>445</v>
      </c>
      <c r="C713" s="1" t="s">
        <v>694</v>
      </c>
      <c r="D713" t="s">
        <v>13</v>
      </c>
      <c r="E713" t="s">
        <v>51</v>
      </c>
      <c r="F713" t="s">
        <v>15</v>
      </c>
      <c r="G713" t="s">
        <v>29</v>
      </c>
      <c r="H713" t="s">
        <v>57</v>
      </c>
      <c r="I713">
        <v>2</v>
      </c>
      <c r="J713">
        <v>5.18</v>
      </c>
      <c r="K713">
        <v>10.36</v>
      </c>
    </row>
    <row r="714" spans="1:11" x14ac:dyDescent="0.3">
      <c r="A714">
        <v>1713</v>
      </c>
      <c r="B714" s="3" t="s">
        <v>469</v>
      </c>
      <c r="C714" s="1" t="s">
        <v>695</v>
      </c>
      <c r="D714" t="s">
        <v>33</v>
      </c>
      <c r="E714" t="s">
        <v>79</v>
      </c>
      <c r="F714" t="s">
        <v>21</v>
      </c>
      <c r="G714" t="s">
        <v>29</v>
      </c>
      <c r="H714" t="s">
        <v>30</v>
      </c>
      <c r="I714">
        <v>2</v>
      </c>
      <c r="J714">
        <v>5.72</v>
      </c>
      <c r="K714">
        <v>11.44</v>
      </c>
    </row>
    <row r="715" spans="1:11" x14ac:dyDescent="0.3">
      <c r="A715">
        <v>1714</v>
      </c>
      <c r="B715" s="3" t="s">
        <v>141</v>
      </c>
      <c r="C715" s="1" t="s">
        <v>696</v>
      </c>
      <c r="D715" t="s">
        <v>48</v>
      </c>
      <c r="E715" t="s">
        <v>14</v>
      </c>
      <c r="F715" t="s">
        <v>21</v>
      </c>
      <c r="G715" t="s">
        <v>22</v>
      </c>
      <c r="H715" t="s">
        <v>23</v>
      </c>
      <c r="I715">
        <v>1</v>
      </c>
      <c r="J715">
        <v>4.68</v>
      </c>
      <c r="K715">
        <v>4.68</v>
      </c>
    </row>
    <row r="716" spans="1:11" x14ac:dyDescent="0.3">
      <c r="A716">
        <v>1715</v>
      </c>
      <c r="B716" s="3" t="s">
        <v>224</v>
      </c>
      <c r="C716" s="1" t="s">
        <v>329</v>
      </c>
      <c r="D716" t="s">
        <v>33</v>
      </c>
      <c r="E716" t="s">
        <v>14</v>
      </c>
      <c r="F716" t="s">
        <v>21</v>
      </c>
      <c r="G716" t="s">
        <v>29</v>
      </c>
      <c r="H716" t="s">
        <v>30</v>
      </c>
      <c r="I716">
        <v>4</v>
      </c>
      <c r="J716">
        <v>3.33</v>
      </c>
      <c r="K716">
        <v>13.32</v>
      </c>
    </row>
    <row r="717" spans="1:11" x14ac:dyDescent="0.3">
      <c r="A717">
        <v>1716</v>
      </c>
      <c r="B717" s="3" t="s">
        <v>375</v>
      </c>
      <c r="C717" s="1" t="s">
        <v>697</v>
      </c>
      <c r="D717" t="s">
        <v>42</v>
      </c>
      <c r="E717" t="s">
        <v>20</v>
      </c>
      <c r="F717" t="s">
        <v>28</v>
      </c>
      <c r="G717" t="s">
        <v>22</v>
      </c>
      <c r="H717" t="s">
        <v>23</v>
      </c>
      <c r="I717">
        <v>5</v>
      </c>
      <c r="J717">
        <v>3.69</v>
      </c>
      <c r="K717">
        <v>18.45</v>
      </c>
    </row>
    <row r="718" spans="1:11" x14ac:dyDescent="0.3">
      <c r="A718">
        <v>1717</v>
      </c>
      <c r="B718" s="3" t="s">
        <v>350</v>
      </c>
      <c r="C718" s="1" t="s">
        <v>698</v>
      </c>
      <c r="D718" t="s">
        <v>48</v>
      </c>
      <c r="E718" t="s">
        <v>51</v>
      </c>
      <c r="F718" t="s">
        <v>21</v>
      </c>
      <c r="G718" t="s">
        <v>70</v>
      </c>
      <c r="H718" t="s">
        <v>71</v>
      </c>
      <c r="I718">
        <v>1</v>
      </c>
      <c r="J718">
        <v>5.09</v>
      </c>
      <c r="K718">
        <v>5.09</v>
      </c>
    </row>
    <row r="719" spans="1:11" x14ac:dyDescent="0.3">
      <c r="A719">
        <v>1718</v>
      </c>
      <c r="B719" s="3" t="s">
        <v>562</v>
      </c>
      <c r="C719" s="1" t="s">
        <v>381</v>
      </c>
      <c r="D719" t="s">
        <v>48</v>
      </c>
      <c r="E719" t="s">
        <v>20</v>
      </c>
      <c r="F719" t="s">
        <v>15</v>
      </c>
      <c r="G719" t="s">
        <v>70</v>
      </c>
      <c r="H719" t="s">
        <v>90</v>
      </c>
      <c r="I719">
        <v>5</v>
      </c>
      <c r="J719">
        <v>5.4</v>
      </c>
      <c r="K719">
        <v>27</v>
      </c>
    </row>
    <row r="720" spans="1:11" x14ac:dyDescent="0.3">
      <c r="A720">
        <v>1719</v>
      </c>
      <c r="B720" s="3" t="s">
        <v>350</v>
      </c>
      <c r="C720" s="1" t="s">
        <v>546</v>
      </c>
      <c r="D720" t="s">
        <v>48</v>
      </c>
      <c r="E720" t="s">
        <v>51</v>
      </c>
      <c r="F720" t="s">
        <v>21</v>
      </c>
      <c r="G720" t="s">
        <v>29</v>
      </c>
      <c r="H720" t="s">
        <v>30</v>
      </c>
      <c r="I720">
        <v>2</v>
      </c>
      <c r="J720">
        <v>3</v>
      </c>
      <c r="K720">
        <v>6</v>
      </c>
    </row>
    <row r="721" spans="1:11" x14ac:dyDescent="0.3">
      <c r="A721">
        <v>1720</v>
      </c>
      <c r="B721" s="3" t="s">
        <v>619</v>
      </c>
      <c r="C721" s="1" t="s">
        <v>699</v>
      </c>
      <c r="D721" t="s">
        <v>38</v>
      </c>
      <c r="E721" t="s">
        <v>34</v>
      </c>
      <c r="F721" t="s">
        <v>28</v>
      </c>
      <c r="G721" t="s">
        <v>70</v>
      </c>
      <c r="H721" t="s">
        <v>90</v>
      </c>
      <c r="I721">
        <v>2</v>
      </c>
      <c r="J721">
        <v>4.21</v>
      </c>
      <c r="K721">
        <v>8.42</v>
      </c>
    </row>
    <row r="722" spans="1:11" x14ac:dyDescent="0.3">
      <c r="A722">
        <v>1721</v>
      </c>
      <c r="B722" s="3" t="s">
        <v>368</v>
      </c>
      <c r="C722" s="1" t="s">
        <v>239</v>
      </c>
      <c r="D722" t="s">
        <v>38</v>
      </c>
      <c r="E722" t="s">
        <v>27</v>
      </c>
      <c r="F722" t="s">
        <v>21</v>
      </c>
      <c r="G722" t="s">
        <v>22</v>
      </c>
      <c r="H722" t="s">
        <v>23</v>
      </c>
      <c r="I722">
        <v>5</v>
      </c>
      <c r="J722">
        <v>5.47</v>
      </c>
      <c r="K722">
        <v>27.35</v>
      </c>
    </row>
    <row r="723" spans="1:11" x14ac:dyDescent="0.3">
      <c r="A723">
        <v>1722</v>
      </c>
      <c r="B723" s="3" t="s">
        <v>84</v>
      </c>
      <c r="C723" s="1" t="s">
        <v>381</v>
      </c>
      <c r="D723" t="s">
        <v>26</v>
      </c>
      <c r="E723" t="s">
        <v>79</v>
      </c>
      <c r="F723" t="s">
        <v>21</v>
      </c>
      <c r="G723" t="s">
        <v>29</v>
      </c>
      <c r="H723" t="s">
        <v>52</v>
      </c>
      <c r="I723">
        <v>3</v>
      </c>
      <c r="J723">
        <v>4.63</v>
      </c>
      <c r="K723">
        <v>13.89</v>
      </c>
    </row>
    <row r="724" spans="1:11" x14ac:dyDescent="0.3">
      <c r="A724">
        <v>1723</v>
      </c>
      <c r="B724" s="3" t="s">
        <v>53</v>
      </c>
      <c r="C724" s="1" t="s">
        <v>700</v>
      </c>
      <c r="D724" t="s">
        <v>38</v>
      </c>
      <c r="E724" t="s">
        <v>14</v>
      </c>
      <c r="F724" t="s">
        <v>21</v>
      </c>
      <c r="G724" t="s">
        <v>22</v>
      </c>
      <c r="H724" t="s">
        <v>23</v>
      </c>
      <c r="I724">
        <v>1</v>
      </c>
      <c r="J724">
        <v>3.83</v>
      </c>
      <c r="K724">
        <v>3.83</v>
      </c>
    </row>
    <row r="725" spans="1:11" x14ac:dyDescent="0.3">
      <c r="A725">
        <v>1724</v>
      </c>
      <c r="B725" s="3" t="s">
        <v>303</v>
      </c>
      <c r="C725" s="1" t="s">
        <v>420</v>
      </c>
      <c r="D725" t="s">
        <v>26</v>
      </c>
      <c r="E725" t="s">
        <v>14</v>
      </c>
      <c r="F725" t="s">
        <v>15</v>
      </c>
      <c r="G725" t="s">
        <v>16</v>
      </c>
      <c r="H725" t="s">
        <v>35</v>
      </c>
      <c r="I725">
        <v>1</v>
      </c>
      <c r="J725">
        <v>3.74</v>
      </c>
      <c r="K725">
        <v>3.74</v>
      </c>
    </row>
    <row r="726" spans="1:11" x14ac:dyDescent="0.3">
      <c r="A726">
        <v>1725</v>
      </c>
      <c r="B726" s="3" t="s">
        <v>443</v>
      </c>
      <c r="C726" s="1" t="s">
        <v>537</v>
      </c>
      <c r="D726" t="s">
        <v>42</v>
      </c>
      <c r="E726" t="s">
        <v>79</v>
      </c>
      <c r="F726" t="s">
        <v>15</v>
      </c>
      <c r="G726" t="s">
        <v>16</v>
      </c>
      <c r="H726" t="s">
        <v>17</v>
      </c>
      <c r="I726">
        <v>3</v>
      </c>
      <c r="J726">
        <v>3.19</v>
      </c>
      <c r="K726">
        <v>9.57</v>
      </c>
    </row>
    <row r="727" spans="1:11" x14ac:dyDescent="0.3">
      <c r="A727">
        <v>1726</v>
      </c>
      <c r="B727" s="3" t="s">
        <v>384</v>
      </c>
      <c r="C727" s="1" t="s">
        <v>701</v>
      </c>
      <c r="D727" t="s">
        <v>42</v>
      </c>
      <c r="E727" t="s">
        <v>14</v>
      </c>
      <c r="F727" t="s">
        <v>15</v>
      </c>
      <c r="G727" t="s">
        <v>16</v>
      </c>
      <c r="H727" t="s">
        <v>76</v>
      </c>
      <c r="I727">
        <v>1</v>
      </c>
      <c r="J727">
        <v>3.4</v>
      </c>
      <c r="K727">
        <v>3.4</v>
      </c>
    </row>
    <row r="728" spans="1:11" x14ac:dyDescent="0.3">
      <c r="A728">
        <v>1727</v>
      </c>
      <c r="B728" s="3" t="s">
        <v>112</v>
      </c>
      <c r="C728" s="1" t="s">
        <v>679</v>
      </c>
      <c r="D728" t="s">
        <v>48</v>
      </c>
      <c r="E728" t="s">
        <v>14</v>
      </c>
      <c r="F728" t="s">
        <v>21</v>
      </c>
      <c r="G728" t="s">
        <v>22</v>
      </c>
      <c r="H728" t="s">
        <v>23</v>
      </c>
      <c r="I728">
        <v>1</v>
      </c>
      <c r="J728">
        <v>2.62</v>
      </c>
      <c r="K728">
        <v>2.62</v>
      </c>
    </row>
    <row r="729" spans="1:11" x14ac:dyDescent="0.3">
      <c r="A729">
        <v>1728</v>
      </c>
      <c r="B729" s="3" t="s">
        <v>554</v>
      </c>
      <c r="C729" s="1" t="s">
        <v>460</v>
      </c>
      <c r="D729" t="s">
        <v>38</v>
      </c>
      <c r="E729" t="s">
        <v>79</v>
      </c>
      <c r="F729" t="s">
        <v>15</v>
      </c>
      <c r="G729" t="s">
        <v>16</v>
      </c>
      <c r="H729" t="s">
        <v>17</v>
      </c>
      <c r="I729">
        <v>2</v>
      </c>
      <c r="J729">
        <v>5.93</v>
      </c>
      <c r="K729">
        <v>11.86</v>
      </c>
    </row>
    <row r="730" spans="1:11" x14ac:dyDescent="0.3">
      <c r="A730">
        <v>1729</v>
      </c>
      <c r="B730" s="3" t="s">
        <v>194</v>
      </c>
      <c r="C730" s="1" t="s">
        <v>702</v>
      </c>
      <c r="D730" t="s">
        <v>38</v>
      </c>
      <c r="E730" t="s">
        <v>51</v>
      </c>
      <c r="F730" t="s">
        <v>15</v>
      </c>
      <c r="G730" t="s">
        <v>29</v>
      </c>
      <c r="H730" t="s">
        <v>30</v>
      </c>
      <c r="I730">
        <v>2</v>
      </c>
      <c r="J730">
        <v>2.64</v>
      </c>
      <c r="K730">
        <v>5.28</v>
      </c>
    </row>
    <row r="731" spans="1:11" x14ac:dyDescent="0.3">
      <c r="A731">
        <v>1730</v>
      </c>
      <c r="B731" s="3" t="s">
        <v>303</v>
      </c>
      <c r="C731" s="1" t="s">
        <v>703</v>
      </c>
      <c r="D731" t="s">
        <v>26</v>
      </c>
      <c r="E731" t="s">
        <v>14</v>
      </c>
      <c r="F731" t="s">
        <v>21</v>
      </c>
      <c r="G731" t="s">
        <v>22</v>
      </c>
      <c r="H731" t="s">
        <v>23</v>
      </c>
      <c r="I731">
        <v>2</v>
      </c>
      <c r="J731">
        <v>4.9000000000000004</v>
      </c>
      <c r="K731">
        <v>9.8000000000000007</v>
      </c>
    </row>
    <row r="732" spans="1:11" x14ac:dyDescent="0.3">
      <c r="A732">
        <v>1731</v>
      </c>
      <c r="B732" s="3" t="s">
        <v>102</v>
      </c>
      <c r="C732" s="1" t="s">
        <v>704</v>
      </c>
      <c r="D732" t="s">
        <v>33</v>
      </c>
      <c r="E732" t="s">
        <v>14</v>
      </c>
      <c r="F732" t="s">
        <v>28</v>
      </c>
      <c r="G732" t="s">
        <v>70</v>
      </c>
      <c r="H732" t="s">
        <v>90</v>
      </c>
      <c r="I732">
        <v>3</v>
      </c>
      <c r="J732">
        <v>5.5</v>
      </c>
      <c r="K732">
        <v>16.5</v>
      </c>
    </row>
    <row r="733" spans="1:11" x14ac:dyDescent="0.3">
      <c r="A733">
        <v>1732</v>
      </c>
      <c r="B733" s="3" t="s">
        <v>40</v>
      </c>
      <c r="C733" s="1" t="s">
        <v>519</v>
      </c>
      <c r="D733" t="s">
        <v>42</v>
      </c>
      <c r="E733" t="s">
        <v>34</v>
      </c>
      <c r="F733" t="s">
        <v>28</v>
      </c>
      <c r="G733" t="s">
        <v>29</v>
      </c>
      <c r="H733" t="s">
        <v>30</v>
      </c>
      <c r="I733">
        <v>1</v>
      </c>
      <c r="J733">
        <v>5.88</v>
      </c>
      <c r="K733">
        <v>5.88</v>
      </c>
    </row>
    <row r="734" spans="1:11" x14ac:dyDescent="0.3">
      <c r="A734">
        <v>1733</v>
      </c>
      <c r="B734" s="3" t="s">
        <v>428</v>
      </c>
      <c r="C734" s="1" t="s">
        <v>500</v>
      </c>
      <c r="D734" t="s">
        <v>13</v>
      </c>
      <c r="E734" t="s">
        <v>20</v>
      </c>
      <c r="F734" t="s">
        <v>28</v>
      </c>
      <c r="G734" t="s">
        <v>70</v>
      </c>
      <c r="H734" t="s">
        <v>95</v>
      </c>
      <c r="I734">
        <v>3</v>
      </c>
      <c r="J734">
        <v>4.12</v>
      </c>
      <c r="K734">
        <v>12.36</v>
      </c>
    </row>
    <row r="735" spans="1:11" x14ac:dyDescent="0.3">
      <c r="A735">
        <v>1734</v>
      </c>
      <c r="B735" s="3" t="s">
        <v>305</v>
      </c>
      <c r="C735" s="1" t="s">
        <v>612</v>
      </c>
      <c r="D735" t="s">
        <v>48</v>
      </c>
      <c r="E735" t="s">
        <v>34</v>
      </c>
      <c r="F735" t="s">
        <v>15</v>
      </c>
      <c r="G735" t="s">
        <v>70</v>
      </c>
      <c r="H735" t="s">
        <v>90</v>
      </c>
      <c r="I735">
        <v>4</v>
      </c>
      <c r="J735">
        <v>5.3</v>
      </c>
      <c r="K735">
        <v>21.2</v>
      </c>
    </row>
    <row r="736" spans="1:11" x14ac:dyDescent="0.3">
      <c r="A736">
        <v>1735</v>
      </c>
      <c r="B736" s="3" t="s">
        <v>100</v>
      </c>
      <c r="C736" s="1" t="s">
        <v>567</v>
      </c>
      <c r="D736" t="s">
        <v>48</v>
      </c>
      <c r="E736" t="s">
        <v>51</v>
      </c>
      <c r="F736" t="s">
        <v>15</v>
      </c>
      <c r="G736" t="s">
        <v>16</v>
      </c>
      <c r="H736" t="s">
        <v>17</v>
      </c>
      <c r="I736">
        <v>4</v>
      </c>
      <c r="J736">
        <v>4.7699999999999996</v>
      </c>
      <c r="K736">
        <v>19.079999999999998</v>
      </c>
    </row>
    <row r="737" spans="1:11" x14ac:dyDescent="0.3">
      <c r="A737">
        <v>1736</v>
      </c>
      <c r="B737" s="3" t="s">
        <v>321</v>
      </c>
      <c r="C737" s="1" t="s">
        <v>316</v>
      </c>
      <c r="D737" t="s">
        <v>33</v>
      </c>
      <c r="E737" t="s">
        <v>20</v>
      </c>
      <c r="F737" t="s">
        <v>21</v>
      </c>
      <c r="G737" t="s">
        <v>22</v>
      </c>
      <c r="H737" t="s">
        <v>23</v>
      </c>
      <c r="I737">
        <v>2</v>
      </c>
      <c r="J737">
        <v>3.72</v>
      </c>
      <c r="K737">
        <v>7.44</v>
      </c>
    </row>
    <row r="738" spans="1:11" x14ac:dyDescent="0.3">
      <c r="A738">
        <v>1737</v>
      </c>
      <c r="B738" s="3" t="s">
        <v>525</v>
      </c>
      <c r="C738" s="1" t="s">
        <v>249</v>
      </c>
      <c r="D738" t="s">
        <v>33</v>
      </c>
      <c r="E738" t="s">
        <v>34</v>
      </c>
      <c r="F738" t="s">
        <v>28</v>
      </c>
      <c r="G738" t="s">
        <v>29</v>
      </c>
      <c r="H738" t="s">
        <v>43</v>
      </c>
      <c r="I738">
        <v>1</v>
      </c>
      <c r="J738">
        <v>4.3899999999999997</v>
      </c>
      <c r="K738">
        <v>4.3899999999999997</v>
      </c>
    </row>
    <row r="739" spans="1:11" x14ac:dyDescent="0.3">
      <c r="A739">
        <v>1738</v>
      </c>
      <c r="B739" s="3" t="s">
        <v>55</v>
      </c>
      <c r="C739" s="1" t="s">
        <v>41</v>
      </c>
      <c r="D739" t="s">
        <v>38</v>
      </c>
      <c r="E739" t="s">
        <v>20</v>
      </c>
      <c r="F739" t="s">
        <v>28</v>
      </c>
      <c r="G739" t="s">
        <v>70</v>
      </c>
      <c r="H739" t="s">
        <v>95</v>
      </c>
      <c r="I739">
        <v>3</v>
      </c>
      <c r="J739">
        <v>5.43</v>
      </c>
      <c r="K739">
        <v>16.29</v>
      </c>
    </row>
    <row r="740" spans="1:11" x14ac:dyDescent="0.3">
      <c r="A740">
        <v>1739</v>
      </c>
      <c r="B740" s="3" t="s">
        <v>201</v>
      </c>
      <c r="C740" s="1" t="s">
        <v>614</v>
      </c>
      <c r="D740" t="s">
        <v>48</v>
      </c>
      <c r="E740" t="s">
        <v>14</v>
      </c>
      <c r="F740" t="s">
        <v>28</v>
      </c>
      <c r="G740" t="s">
        <v>22</v>
      </c>
      <c r="H740" t="s">
        <v>23</v>
      </c>
      <c r="I740">
        <v>5</v>
      </c>
      <c r="J740">
        <v>5.0999999999999996</v>
      </c>
      <c r="K740">
        <v>25.5</v>
      </c>
    </row>
    <row r="741" spans="1:11" x14ac:dyDescent="0.3">
      <c r="A741">
        <v>1740</v>
      </c>
      <c r="B741" s="3" t="s">
        <v>268</v>
      </c>
      <c r="C741" s="1" t="s">
        <v>581</v>
      </c>
      <c r="D741" t="s">
        <v>33</v>
      </c>
      <c r="E741" t="s">
        <v>51</v>
      </c>
      <c r="F741" t="s">
        <v>21</v>
      </c>
      <c r="G741" t="s">
        <v>16</v>
      </c>
      <c r="H741" t="s">
        <v>76</v>
      </c>
      <c r="I741">
        <v>1</v>
      </c>
      <c r="J741">
        <v>5.68</v>
      </c>
      <c r="K741">
        <v>5.68</v>
      </c>
    </row>
    <row r="742" spans="1:11" x14ac:dyDescent="0.3">
      <c r="A742">
        <v>1741</v>
      </c>
      <c r="B742" s="3" t="s">
        <v>238</v>
      </c>
      <c r="C742" s="1" t="s">
        <v>577</v>
      </c>
      <c r="D742" t="s">
        <v>38</v>
      </c>
      <c r="E742" t="s">
        <v>34</v>
      </c>
      <c r="F742" t="s">
        <v>21</v>
      </c>
      <c r="G742" t="s">
        <v>22</v>
      </c>
      <c r="H742" t="s">
        <v>23</v>
      </c>
      <c r="I742">
        <v>2</v>
      </c>
      <c r="J742">
        <v>5.05</v>
      </c>
      <c r="K742">
        <v>10.1</v>
      </c>
    </row>
    <row r="743" spans="1:11" x14ac:dyDescent="0.3">
      <c r="A743">
        <v>1742</v>
      </c>
      <c r="B743" s="3" t="s">
        <v>272</v>
      </c>
      <c r="C743" s="1" t="s">
        <v>78</v>
      </c>
      <c r="D743" t="s">
        <v>33</v>
      </c>
      <c r="E743" t="s">
        <v>79</v>
      </c>
      <c r="F743" t="s">
        <v>28</v>
      </c>
      <c r="G743" t="s">
        <v>29</v>
      </c>
      <c r="H743" t="s">
        <v>43</v>
      </c>
      <c r="I743">
        <v>4</v>
      </c>
      <c r="J743">
        <v>2.61</v>
      </c>
      <c r="K743">
        <v>10.44</v>
      </c>
    </row>
    <row r="744" spans="1:11" x14ac:dyDescent="0.3">
      <c r="A744">
        <v>1743</v>
      </c>
      <c r="B744" s="3" t="s">
        <v>215</v>
      </c>
      <c r="C744" s="1" t="s">
        <v>655</v>
      </c>
      <c r="D744" t="s">
        <v>38</v>
      </c>
      <c r="E744" t="s">
        <v>20</v>
      </c>
      <c r="F744" t="s">
        <v>15</v>
      </c>
      <c r="G744" t="s">
        <v>22</v>
      </c>
      <c r="H744" t="s">
        <v>23</v>
      </c>
      <c r="I744">
        <v>5</v>
      </c>
      <c r="J744">
        <v>2.17</v>
      </c>
      <c r="K744">
        <v>10.85</v>
      </c>
    </row>
    <row r="745" spans="1:11" x14ac:dyDescent="0.3">
      <c r="A745">
        <v>1744</v>
      </c>
      <c r="B745" s="3" t="s">
        <v>31</v>
      </c>
      <c r="C745" s="1" t="s">
        <v>180</v>
      </c>
      <c r="D745" t="s">
        <v>33</v>
      </c>
      <c r="E745" t="s">
        <v>34</v>
      </c>
      <c r="F745" t="s">
        <v>15</v>
      </c>
      <c r="G745" t="s">
        <v>70</v>
      </c>
      <c r="H745" t="s">
        <v>90</v>
      </c>
      <c r="I745">
        <v>4</v>
      </c>
      <c r="J745">
        <v>2.9</v>
      </c>
      <c r="K745">
        <v>11.6</v>
      </c>
    </row>
    <row r="746" spans="1:11" x14ac:dyDescent="0.3">
      <c r="A746">
        <v>1745</v>
      </c>
      <c r="B746" s="3" t="s">
        <v>525</v>
      </c>
      <c r="C746" s="1" t="s">
        <v>520</v>
      </c>
      <c r="D746" t="s">
        <v>33</v>
      </c>
      <c r="E746" t="s">
        <v>34</v>
      </c>
      <c r="F746" t="s">
        <v>28</v>
      </c>
      <c r="G746" t="s">
        <v>29</v>
      </c>
      <c r="H746" t="s">
        <v>30</v>
      </c>
      <c r="I746">
        <v>4</v>
      </c>
      <c r="J746">
        <v>3.04</v>
      </c>
      <c r="K746">
        <v>12.16</v>
      </c>
    </row>
    <row r="747" spans="1:11" x14ac:dyDescent="0.3">
      <c r="A747">
        <v>1746</v>
      </c>
      <c r="B747" s="3" t="s">
        <v>540</v>
      </c>
      <c r="C747" s="1" t="s">
        <v>583</v>
      </c>
      <c r="D747" t="s">
        <v>26</v>
      </c>
      <c r="E747" t="s">
        <v>34</v>
      </c>
      <c r="F747" t="s">
        <v>15</v>
      </c>
      <c r="G747" t="s">
        <v>22</v>
      </c>
      <c r="H747" t="s">
        <v>23</v>
      </c>
      <c r="I747">
        <v>4</v>
      </c>
      <c r="J747">
        <v>5.79</v>
      </c>
      <c r="K747">
        <v>23.16</v>
      </c>
    </row>
    <row r="748" spans="1:11" x14ac:dyDescent="0.3">
      <c r="A748">
        <v>1747</v>
      </c>
      <c r="B748" s="3" t="s">
        <v>130</v>
      </c>
      <c r="C748" s="1" t="s">
        <v>177</v>
      </c>
      <c r="D748" t="s">
        <v>26</v>
      </c>
      <c r="E748" t="s">
        <v>20</v>
      </c>
      <c r="F748" t="s">
        <v>15</v>
      </c>
      <c r="G748" t="s">
        <v>16</v>
      </c>
      <c r="H748" t="s">
        <v>17</v>
      </c>
      <c r="I748">
        <v>5</v>
      </c>
      <c r="J748">
        <v>4.8600000000000003</v>
      </c>
      <c r="K748">
        <v>24.3</v>
      </c>
    </row>
    <row r="749" spans="1:11" x14ac:dyDescent="0.3">
      <c r="A749">
        <v>1748</v>
      </c>
      <c r="B749" s="3" t="s">
        <v>118</v>
      </c>
      <c r="C749" s="1" t="s">
        <v>705</v>
      </c>
      <c r="D749" t="s">
        <v>42</v>
      </c>
      <c r="E749" t="s">
        <v>27</v>
      </c>
      <c r="F749" t="s">
        <v>21</v>
      </c>
      <c r="G749" t="s">
        <v>22</v>
      </c>
      <c r="H749" t="s">
        <v>23</v>
      </c>
      <c r="I749">
        <v>4</v>
      </c>
      <c r="J749">
        <v>3.02</v>
      </c>
      <c r="K749">
        <v>12.08</v>
      </c>
    </row>
    <row r="750" spans="1:11" x14ac:dyDescent="0.3">
      <c r="A750">
        <v>1749</v>
      </c>
      <c r="B750" s="3" t="s">
        <v>206</v>
      </c>
      <c r="C750" s="1" t="s">
        <v>706</v>
      </c>
      <c r="D750" t="s">
        <v>33</v>
      </c>
      <c r="E750" t="s">
        <v>27</v>
      </c>
      <c r="F750" t="s">
        <v>28</v>
      </c>
      <c r="G750" t="s">
        <v>29</v>
      </c>
      <c r="H750" t="s">
        <v>52</v>
      </c>
      <c r="I750">
        <v>3</v>
      </c>
      <c r="J750">
        <v>3.14</v>
      </c>
      <c r="K750">
        <v>9.42</v>
      </c>
    </row>
    <row r="751" spans="1:11" x14ac:dyDescent="0.3">
      <c r="A751">
        <v>1750</v>
      </c>
      <c r="B751" s="3" t="s">
        <v>141</v>
      </c>
      <c r="C751" s="1" t="s">
        <v>683</v>
      </c>
      <c r="D751" t="s">
        <v>48</v>
      </c>
      <c r="E751" t="s">
        <v>14</v>
      </c>
      <c r="F751" t="s">
        <v>15</v>
      </c>
      <c r="G751" t="s">
        <v>16</v>
      </c>
      <c r="H751" t="s">
        <v>76</v>
      </c>
      <c r="I751">
        <v>3</v>
      </c>
      <c r="J751">
        <v>3.96</v>
      </c>
      <c r="K751">
        <v>11.88</v>
      </c>
    </row>
    <row r="752" spans="1:11" x14ac:dyDescent="0.3">
      <c r="A752">
        <v>1751</v>
      </c>
      <c r="B752" s="3" t="s">
        <v>145</v>
      </c>
      <c r="C752" s="1" t="s">
        <v>386</v>
      </c>
      <c r="D752" t="s">
        <v>42</v>
      </c>
      <c r="E752" t="s">
        <v>79</v>
      </c>
      <c r="F752" t="s">
        <v>15</v>
      </c>
      <c r="G752" t="s">
        <v>22</v>
      </c>
      <c r="H752" t="s">
        <v>23</v>
      </c>
      <c r="I752">
        <v>5</v>
      </c>
      <c r="J752">
        <v>6</v>
      </c>
      <c r="K752">
        <v>30</v>
      </c>
    </row>
    <row r="753" spans="1:11" x14ac:dyDescent="0.3">
      <c r="A753">
        <v>1752</v>
      </c>
      <c r="B753" s="3" t="s">
        <v>93</v>
      </c>
      <c r="C753" s="1" t="s">
        <v>707</v>
      </c>
      <c r="D753" t="s">
        <v>13</v>
      </c>
      <c r="E753" t="s">
        <v>39</v>
      </c>
      <c r="F753" t="s">
        <v>21</v>
      </c>
      <c r="G753" t="s">
        <v>22</v>
      </c>
      <c r="H753" t="s">
        <v>23</v>
      </c>
      <c r="I753">
        <v>3</v>
      </c>
      <c r="J753">
        <v>3.84</v>
      </c>
      <c r="K753">
        <v>11.52</v>
      </c>
    </row>
    <row r="754" spans="1:11" x14ac:dyDescent="0.3">
      <c r="A754">
        <v>1753</v>
      </c>
      <c r="B754" s="3" t="s">
        <v>96</v>
      </c>
      <c r="C754" s="1" t="s">
        <v>708</v>
      </c>
      <c r="D754" t="s">
        <v>26</v>
      </c>
      <c r="E754" t="s">
        <v>79</v>
      </c>
      <c r="F754" t="s">
        <v>15</v>
      </c>
      <c r="G754" t="s">
        <v>29</v>
      </c>
      <c r="H754" t="s">
        <v>43</v>
      </c>
      <c r="I754">
        <v>2</v>
      </c>
      <c r="J754">
        <v>5.0999999999999996</v>
      </c>
      <c r="K754">
        <v>10.199999999999999</v>
      </c>
    </row>
    <row r="755" spans="1:11" x14ac:dyDescent="0.3">
      <c r="A755">
        <v>1754</v>
      </c>
      <c r="B755" s="3" t="s">
        <v>422</v>
      </c>
      <c r="C755" s="1" t="s">
        <v>709</v>
      </c>
      <c r="D755" t="s">
        <v>13</v>
      </c>
      <c r="E755" t="s">
        <v>51</v>
      </c>
      <c r="F755" t="s">
        <v>21</v>
      </c>
      <c r="G755" t="s">
        <v>16</v>
      </c>
      <c r="H755" t="s">
        <v>17</v>
      </c>
      <c r="I755">
        <v>2</v>
      </c>
      <c r="J755">
        <v>2.88</v>
      </c>
      <c r="K755">
        <v>5.76</v>
      </c>
    </row>
    <row r="756" spans="1:11" x14ac:dyDescent="0.3">
      <c r="A756">
        <v>1755</v>
      </c>
      <c r="B756" s="3" t="s">
        <v>258</v>
      </c>
      <c r="C756" s="1" t="s">
        <v>526</v>
      </c>
      <c r="D756" t="s">
        <v>38</v>
      </c>
      <c r="E756" t="s">
        <v>14</v>
      </c>
      <c r="F756" t="s">
        <v>21</v>
      </c>
      <c r="G756" t="s">
        <v>70</v>
      </c>
      <c r="H756" t="s">
        <v>71</v>
      </c>
      <c r="I756">
        <v>4</v>
      </c>
      <c r="J756">
        <v>4.17</v>
      </c>
      <c r="K756">
        <v>16.68</v>
      </c>
    </row>
    <row r="757" spans="1:11" x14ac:dyDescent="0.3">
      <c r="A757">
        <v>1756</v>
      </c>
      <c r="B757" s="3" t="s">
        <v>160</v>
      </c>
      <c r="C757" s="1" t="s">
        <v>710</v>
      </c>
      <c r="D757" t="s">
        <v>33</v>
      </c>
      <c r="E757" t="s">
        <v>20</v>
      </c>
      <c r="F757" t="s">
        <v>28</v>
      </c>
      <c r="G757" t="s">
        <v>22</v>
      </c>
      <c r="H757" t="s">
        <v>23</v>
      </c>
      <c r="I757">
        <v>5</v>
      </c>
      <c r="J757">
        <v>2.2400000000000002</v>
      </c>
      <c r="K757">
        <v>11.2</v>
      </c>
    </row>
    <row r="758" spans="1:11" x14ac:dyDescent="0.3">
      <c r="A758">
        <v>1757</v>
      </c>
      <c r="B758" s="3" t="s">
        <v>86</v>
      </c>
      <c r="C758" s="1" t="s">
        <v>711</v>
      </c>
      <c r="D758" t="s">
        <v>26</v>
      </c>
      <c r="E758" t="s">
        <v>14</v>
      </c>
      <c r="F758" t="s">
        <v>15</v>
      </c>
      <c r="G758" t="s">
        <v>29</v>
      </c>
      <c r="H758" t="s">
        <v>30</v>
      </c>
      <c r="I758">
        <v>3</v>
      </c>
      <c r="J758">
        <v>5.54</v>
      </c>
      <c r="K758">
        <v>16.62</v>
      </c>
    </row>
    <row r="759" spans="1:11" x14ac:dyDescent="0.3">
      <c r="A759">
        <v>1758</v>
      </c>
      <c r="B759" s="3" t="s">
        <v>210</v>
      </c>
      <c r="C759" s="1" t="s">
        <v>712</v>
      </c>
      <c r="D759" t="s">
        <v>38</v>
      </c>
      <c r="E759" t="s">
        <v>34</v>
      </c>
      <c r="F759" t="s">
        <v>28</v>
      </c>
      <c r="G759" t="s">
        <v>22</v>
      </c>
      <c r="H759" t="s">
        <v>23</v>
      </c>
      <c r="I759">
        <v>2</v>
      </c>
      <c r="J759">
        <v>2.08</v>
      </c>
      <c r="K759">
        <v>4.16</v>
      </c>
    </row>
    <row r="760" spans="1:11" x14ac:dyDescent="0.3">
      <c r="A760">
        <v>1759</v>
      </c>
      <c r="B760" s="3" t="s">
        <v>82</v>
      </c>
      <c r="C760" s="1" t="s">
        <v>347</v>
      </c>
      <c r="D760" t="s">
        <v>48</v>
      </c>
      <c r="E760" t="s">
        <v>20</v>
      </c>
      <c r="F760" t="s">
        <v>15</v>
      </c>
      <c r="G760" t="s">
        <v>16</v>
      </c>
      <c r="H760" t="s">
        <v>76</v>
      </c>
      <c r="I760">
        <v>3</v>
      </c>
      <c r="J760">
        <v>2.25</v>
      </c>
      <c r="K760">
        <v>6.75</v>
      </c>
    </row>
    <row r="761" spans="1:11" x14ac:dyDescent="0.3">
      <c r="A761">
        <v>1760</v>
      </c>
      <c r="B761" s="3" t="s">
        <v>384</v>
      </c>
      <c r="C761" s="1" t="s">
        <v>537</v>
      </c>
      <c r="D761" t="s">
        <v>42</v>
      </c>
      <c r="E761" t="s">
        <v>14</v>
      </c>
      <c r="F761" t="s">
        <v>21</v>
      </c>
      <c r="G761" t="s">
        <v>16</v>
      </c>
      <c r="H761" t="s">
        <v>17</v>
      </c>
      <c r="I761">
        <v>4</v>
      </c>
      <c r="J761">
        <v>3.41</v>
      </c>
      <c r="K761">
        <v>13.64</v>
      </c>
    </row>
    <row r="762" spans="1:11" x14ac:dyDescent="0.3">
      <c r="A762">
        <v>1761</v>
      </c>
      <c r="B762" s="3" t="s">
        <v>540</v>
      </c>
      <c r="C762" s="1" t="s">
        <v>456</v>
      </c>
      <c r="D762" t="s">
        <v>26</v>
      </c>
      <c r="E762" t="s">
        <v>34</v>
      </c>
      <c r="F762" t="s">
        <v>21</v>
      </c>
      <c r="G762" t="s">
        <v>70</v>
      </c>
      <c r="H762" t="s">
        <v>95</v>
      </c>
      <c r="I762">
        <v>4</v>
      </c>
      <c r="J762">
        <v>5.17</v>
      </c>
      <c r="K762">
        <v>20.68</v>
      </c>
    </row>
    <row r="763" spans="1:11" x14ac:dyDescent="0.3">
      <c r="A763">
        <v>1762</v>
      </c>
      <c r="B763" s="3" t="s">
        <v>160</v>
      </c>
      <c r="C763" s="1" t="s">
        <v>654</v>
      </c>
      <c r="D763" t="s">
        <v>33</v>
      </c>
      <c r="E763" t="s">
        <v>20</v>
      </c>
      <c r="F763" t="s">
        <v>28</v>
      </c>
      <c r="G763" t="s">
        <v>22</v>
      </c>
      <c r="H763" t="s">
        <v>23</v>
      </c>
      <c r="I763">
        <v>3</v>
      </c>
      <c r="J763">
        <v>5.47</v>
      </c>
      <c r="K763">
        <v>16.41</v>
      </c>
    </row>
    <row r="764" spans="1:11" x14ac:dyDescent="0.3">
      <c r="A764">
        <v>1763</v>
      </c>
      <c r="B764" s="3" t="s">
        <v>66</v>
      </c>
      <c r="C764" s="1" t="s">
        <v>209</v>
      </c>
      <c r="D764" t="s">
        <v>42</v>
      </c>
      <c r="E764" t="s">
        <v>39</v>
      </c>
      <c r="F764" t="s">
        <v>28</v>
      </c>
      <c r="G764" t="s">
        <v>22</v>
      </c>
      <c r="H764" t="s">
        <v>23</v>
      </c>
      <c r="I764">
        <v>3</v>
      </c>
      <c r="J764">
        <v>3.78</v>
      </c>
      <c r="K764">
        <v>11.34</v>
      </c>
    </row>
    <row r="765" spans="1:11" x14ac:dyDescent="0.3">
      <c r="A765">
        <v>1764</v>
      </c>
      <c r="B765" s="3" t="s">
        <v>353</v>
      </c>
      <c r="C765" s="1" t="s">
        <v>672</v>
      </c>
      <c r="D765" t="s">
        <v>42</v>
      </c>
      <c r="E765" t="s">
        <v>27</v>
      </c>
      <c r="F765" t="s">
        <v>15</v>
      </c>
      <c r="G765" t="s">
        <v>29</v>
      </c>
      <c r="H765" t="s">
        <v>57</v>
      </c>
      <c r="I765">
        <v>2</v>
      </c>
      <c r="J765">
        <v>2.14</v>
      </c>
      <c r="K765">
        <v>4.28</v>
      </c>
    </row>
    <row r="766" spans="1:11" x14ac:dyDescent="0.3">
      <c r="A766">
        <v>1765</v>
      </c>
      <c r="B766" s="3" t="s">
        <v>447</v>
      </c>
      <c r="C766" s="1" t="s">
        <v>713</v>
      </c>
      <c r="D766" t="s">
        <v>38</v>
      </c>
      <c r="E766" t="s">
        <v>39</v>
      </c>
      <c r="F766" t="s">
        <v>28</v>
      </c>
      <c r="G766" t="s">
        <v>70</v>
      </c>
      <c r="H766" t="s">
        <v>90</v>
      </c>
      <c r="I766">
        <v>3</v>
      </c>
      <c r="J766">
        <v>5.83</v>
      </c>
      <c r="K766">
        <v>17.489999999999998</v>
      </c>
    </row>
    <row r="767" spans="1:11" x14ac:dyDescent="0.3">
      <c r="A767">
        <v>1766</v>
      </c>
      <c r="B767" s="3" t="s">
        <v>284</v>
      </c>
      <c r="C767" s="1" t="s">
        <v>241</v>
      </c>
      <c r="D767" t="s">
        <v>38</v>
      </c>
      <c r="E767" t="s">
        <v>27</v>
      </c>
      <c r="F767" t="s">
        <v>21</v>
      </c>
      <c r="G767" t="s">
        <v>70</v>
      </c>
      <c r="H767" t="s">
        <v>95</v>
      </c>
      <c r="I767">
        <v>3</v>
      </c>
      <c r="J767">
        <v>5.15</v>
      </c>
      <c r="K767">
        <v>15.45</v>
      </c>
    </row>
    <row r="768" spans="1:11" x14ac:dyDescent="0.3">
      <c r="A768">
        <v>1767</v>
      </c>
      <c r="B768" s="3" t="s">
        <v>525</v>
      </c>
      <c r="C768" s="1" t="s">
        <v>394</v>
      </c>
      <c r="D768" t="s">
        <v>33</v>
      </c>
      <c r="E768" t="s">
        <v>34</v>
      </c>
      <c r="F768" t="s">
        <v>28</v>
      </c>
      <c r="G768" t="s">
        <v>29</v>
      </c>
      <c r="H768" t="s">
        <v>43</v>
      </c>
      <c r="I768">
        <v>4</v>
      </c>
      <c r="J768">
        <v>5.95</v>
      </c>
      <c r="K768">
        <v>23.8</v>
      </c>
    </row>
    <row r="769" spans="1:11" x14ac:dyDescent="0.3">
      <c r="A769">
        <v>1768</v>
      </c>
      <c r="B769" s="3" t="s">
        <v>415</v>
      </c>
      <c r="C769" s="1" t="s">
        <v>388</v>
      </c>
      <c r="D769" t="s">
        <v>48</v>
      </c>
      <c r="E769" t="s">
        <v>34</v>
      </c>
      <c r="F769" t="s">
        <v>21</v>
      </c>
      <c r="G769" t="s">
        <v>16</v>
      </c>
      <c r="H769" t="s">
        <v>76</v>
      </c>
      <c r="I769">
        <v>2</v>
      </c>
      <c r="J769">
        <v>4.67</v>
      </c>
      <c r="K769">
        <v>9.34</v>
      </c>
    </row>
    <row r="770" spans="1:11" x14ac:dyDescent="0.3">
      <c r="A770">
        <v>1769</v>
      </c>
      <c r="B770" s="3" t="s">
        <v>262</v>
      </c>
      <c r="C770" s="1" t="s">
        <v>638</v>
      </c>
      <c r="D770" t="s">
        <v>33</v>
      </c>
      <c r="E770" t="s">
        <v>39</v>
      </c>
      <c r="F770" t="s">
        <v>15</v>
      </c>
      <c r="G770" t="s">
        <v>70</v>
      </c>
      <c r="H770" t="s">
        <v>90</v>
      </c>
      <c r="I770">
        <v>5</v>
      </c>
      <c r="J770">
        <v>5.65</v>
      </c>
      <c r="K770">
        <v>28.25</v>
      </c>
    </row>
    <row r="771" spans="1:11" x14ac:dyDescent="0.3">
      <c r="A771">
        <v>1770</v>
      </c>
      <c r="B771" s="3" t="s">
        <v>268</v>
      </c>
      <c r="C771" s="1" t="s">
        <v>121</v>
      </c>
      <c r="D771" t="s">
        <v>33</v>
      </c>
      <c r="E771" t="s">
        <v>51</v>
      </c>
      <c r="F771" t="s">
        <v>15</v>
      </c>
      <c r="G771" t="s">
        <v>70</v>
      </c>
      <c r="H771" t="s">
        <v>71</v>
      </c>
      <c r="I771">
        <v>3</v>
      </c>
      <c r="J771">
        <v>3.32</v>
      </c>
      <c r="K771">
        <v>9.9600000000000009</v>
      </c>
    </row>
    <row r="772" spans="1:11" x14ac:dyDescent="0.3">
      <c r="A772">
        <v>1771</v>
      </c>
      <c r="B772" s="3" t="s">
        <v>88</v>
      </c>
      <c r="C772" s="1" t="s">
        <v>714</v>
      </c>
      <c r="D772" t="s">
        <v>42</v>
      </c>
      <c r="E772" t="s">
        <v>39</v>
      </c>
      <c r="F772" t="s">
        <v>15</v>
      </c>
      <c r="G772" t="s">
        <v>29</v>
      </c>
      <c r="H772" t="s">
        <v>30</v>
      </c>
      <c r="I772">
        <v>1</v>
      </c>
      <c r="J772">
        <v>5.32</v>
      </c>
      <c r="K772">
        <v>5.32</v>
      </c>
    </row>
    <row r="773" spans="1:11" x14ac:dyDescent="0.3">
      <c r="A773">
        <v>1772</v>
      </c>
      <c r="B773" s="3" t="s">
        <v>108</v>
      </c>
      <c r="C773" s="1" t="s">
        <v>228</v>
      </c>
      <c r="D773" t="s">
        <v>38</v>
      </c>
      <c r="E773" t="s">
        <v>79</v>
      </c>
      <c r="F773" t="s">
        <v>15</v>
      </c>
      <c r="G773" t="s">
        <v>29</v>
      </c>
      <c r="H773" t="s">
        <v>30</v>
      </c>
      <c r="I773">
        <v>3</v>
      </c>
      <c r="J773">
        <v>4.08</v>
      </c>
      <c r="K773">
        <v>12.24</v>
      </c>
    </row>
    <row r="774" spans="1:11" x14ac:dyDescent="0.3">
      <c r="A774">
        <v>1773</v>
      </c>
      <c r="B774" s="3" t="s">
        <v>114</v>
      </c>
      <c r="C774" s="1" t="s">
        <v>37</v>
      </c>
      <c r="D774" t="s">
        <v>26</v>
      </c>
      <c r="E774" t="s">
        <v>20</v>
      </c>
      <c r="F774" t="s">
        <v>15</v>
      </c>
      <c r="G774" t="s">
        <v>16</v>
      </c>
      <c r="H774" t="s">
        <v>17</v>
      </c>
      <c r="I774">
        <v>1</v>
      </c>
      <c r="J774">
        <v>5.54</v>
      </c>
      <c r="K774">
        <v>5.54</v>
      </c>
    </row>
    <row r="775" spans="1:11" x14ac:dyDescent="0.3">
      <c r="A775">
        <v>1774</v>
      </c>
      <c r="B775" s="3" t="s">
        <v>141</v>
      </c>
      <c r="C775" s="1" t="s">
        <v>289</v>
      </c>
      <c r="D775" t="s">
        <v>48</v>
      </c>
      <c r="E775" t="s">
        <v>14</v>
      </c>
      <c r="F775" t="s">
        <v>28</v>
      </c>
      <c r="G775" t="s">
        <v>29</v>
      </c>
      <c r="H775" t="s">
        <v>43</v>
      </c>
      <c r="I775">
        <v>5</v>
      </c>
      <c r="J775">
        <v>3.9</v>
      </c>
      <c r="K775">
        <v>19.5</v>
      </c>
    </row>
    <row r="776" spans="1:11" x14ac:dyDescent="0.3">
      <c r="A776">
        <v>1775</v>
      </c>
      <c r="B776" s="3" t="s">
        <v>66</v>
      </c>
      <c r="C776" s="1" t="s">
        <v>457</v>
      </c>
      <c r="D776" t="s">
        <v>42</v>
      </c>
      <c r="E776" t="s">
        <v>39</v>
      </c>
      <c r="F776" t="s">
        <v>28</v>
      </c>
      <c r="G776" t="s">
        <v>70</v>
      </c>
      <c r="H776" t="s">
        <v>95</v>
      </c>
      <c r="I776">
        <v>5</v>
      </c>
      <c r="J776">
        <v>5.46</v>
      </c>
      <c r="K776">
        <v>27.3</v>
      </c>
    </row>
    <row r="777" spans="1:11" x14ac:dyDescent="0.3">
      <c r="A777">
        <v>1776</v>
      </c>
      <c r="B777" s="3" t="s">
        <v>459</v>
      </c>
      <c r="C777" s="1" t="s">
        <v>413</v>
      </c>
      <c r="D777" t="s">
        <v>13</v>
      </c>
      <c r="E777" t="s">
        <v>39</v>
      </c>
      <c r="F777" t="s">
        <v>21</v>
      </c>
      <c r="G777" t="s">
        <v>16</v>
      </c>
      <c r="H777" t="s">
        <v>17</v>
      </c>
      <c r="I777">
        <v>1</v>
      </c>
      <c r="J777">
        <v>3.2</v>
      </c>
      <c r="K777">
        <v>3.2</v>
      </c>
    </row>
    <row r="778" spans="1:11" x14ac:dyDescent="0.3">
      <c r="A778">
        <v>1777</v>
      </c>
      <c r="B778" s="3" t="s">
        <v>118</v>
      </c>
      <c r="C778" s="1" t="s">
        <v>715</v>
      </c>
      <c r="D778" t="s">
        <v>42</v>
      </c>
      <c r="E778" t="s">
        <v>27</v>
      </c>
      <c r="F778" t="s">
        <v>15</v>
      </c>
      <c r="G778" t="s">
        <v>16</v>
      </c>
      <c r="H778" t="s">
        <v>35</v>
      </c>
      <c r="I778">
        <v>3</v>
      </c>
      <c r="J778">
        <v>3.34</v>
      </c>
      <c r="K778">
        <v>10.02</v>
      </c>
    </row>
    <row r="779" spans="1:11" x14ac:dyDescent="0.3">
      <c r="A779">
        <v>1778</v>
      </c>
      <c r="B779" s="3" t="s">
        <v>236</v>
      </c>
      <c r="C779" s="1" t="s">
        <v>89</v>
      </c>
      <c r="D779" t="s">
        <v>42</v>
      </c>
      <c r="E779" t="s">
        <v>79</v>
      </c>
      <c r="F779" t="s">
        <v>21</v>
      </c>
      <c r="G779" t="s">
        <v>70</v>
      </c>
      <c r="H779" t="s">
        <v>95</v>
      </c>
      <c r="I779">
        <v>5</v>
      </c>
      <c r="J779">
        <v>5.64</v>
      </c>
      <c r="K779">
        <v>28.2</v>
      </c>
    </row>
    <row r="780" spans="1:11" x14ac:dyDescent="0.3">
      <c r="A780">
        <v>1779</v>
      </c>
      <c r="B780" s="3" t="s">
        <v>82</v>
      </c>
      <c r="C780" s="1" t="s">
        <v>716</v>
      </c>
      <c r="D780" t="s">
        <v>48</v>
      </c>
      <c r="E780" t="s">
        <v>20</v>
      </c>
      <c r="F780" t="s">
        <v>21</v>
      </c>
      <c r="G780" t="s">
        <v>16</v>
      </c>
      <c r="H780" t="s">
        <v>17</v>
      </c>
      <c r="I780">
        <v>5</v>
      </c>
      <c r="J780">
        <v>3.13</v>
      </c>
      <c r="K780">
        <v>15.65</v>
      </c>
    </row>
    <row r="781" spans="1:11" x14ac:dyDescent="0.3">
      <c r="A781">
        <v>1780</v>
      </c>
      <c r="B781" s="3" t="s">
        <v>323</v>
      </c>
      <c r="C781" s="1" t="s">
        <v>458</v>
      </c>
      <c r="D781" t="s">
        <v>13</v>
      </c>
      <c r="E781" t="s">
        <v>51</v>
      </c>
      <c r="F781" t="s">
        <v>21</v>
      </c>
      <c r="G781" t="s">
        <v>29</v>
      </c>
      <c r="H781" t="s">
        <v>30</v>
      </c>
      <c r="I781">
        <v>5</v>
      </c>
      <c r="J781">
        <v>2.2000000000000002</v>
      </c>
      <c r="K781">
        <v>11</v>
      </c>
    </row>
    <row r="782" spans="1:11" x14ac:dyDescent="0.3">
      <c r="A782">
        <v>1781</v>
      </c>
      <c r="B782" s="3" t="s">
        <v>355</v>
      </c>
      <c r="C782" s="1" t="s">
        <v>717</v>
      </c>
      <c r="D782" t="s">
        <v>38</v>
      </c>
      <c r="E782" t="s">
        <v>39</v>
      </c>
      <c r="F782" t="s">
        <v>15</v>
      </c>
      <c r="G782" t="s">
        <v>29</v>
      </c>
      <c r="H782" t="s">
        <v>52</v>
      </c>
      <c r="I782">
        <v>4</v>
      </c>
      <c r="J782">
        <v>5.87</v>
      </c>
      <c r="K782">
        <v>23.48</v>
      </c>
    </row>
    <row r="783" spans="1:11" x14ac:dyDescent="0.3">
      <c r="A783">
        <v>1782</v>
      </c>
      <c r="B783" s="3" t="s">
        <v>350</v>
      </c>
      <c r="C783" s="1" t="s">
        <v>718</v>
      </c>
      <c r="D783" t="s">
        <v>48</v>
      </c>
      <c r="E783" t="s">
        <v>51</v>
      </c>
      <c r="F783" t="s">
        <v>15</v>
      </c>
      <c r="G783" t="s">
        <v>70</v>
      </c>
      <c r="H783" t="s">
        <v>95</v>
      </c>
      <c r="I783">
        <v>3</v>
      </c>
      <c r="J783">
        <v>3.83</v>
      </c>
      <c r="K783">
        <v>11.49</v>
      </c>
    </row>
    <row r="784" spans="1:11" x14ac:dyDescent="0.3">
      <c r="A784">
        <v>1783</v>
      </c>
      <c r="B784" s="3" t="s">
        <v>160</v>
      </c>
      <c r="C784" s="1" t="s">
        <v>719</v>
      </c>
      <c r="D784" t="s">
        <v>33</v>
      </c>
      <c r="E784" t="s">
        <v>20</v>
      </c>
      <c r="F784" t="s">
        <v>21</v>
      </c>
      <c r="G784" t="s">
        <v>70</v>
      </c>
      <c r="H784" t="s">
        <v>95</v>
      </c>
      <c r="I784">
        <v>4</v>
      </c>
      <c r="J784">
        <v>3.85</v>
      </c>
      <c r="K784">
        <v>15.4</v>
      </c>
    </row>
    <row r="785" spans="1:11" x14ac:dyDescent="0.3">
      <c r="A785">
        <v>1784</v>
      </c>
      <c r="B785" s="3" t="s">
        <v>301</v>
      </c>
      <c r="C785" s="1" t="s">
        <v>533</v>
      </c>
      <c r="D785" t="s">
        <v>33</v>
      </c>
      <c r="E785" t="s">
        <v>14</v>
      </c>
      <c r="F785" t="s">
        <v>15</v>
      </c>
      <c r="G785" t="s">
        <v>22</v>
      </c>
      <c r="H785" t="s">
        <v>23</v>
      </c>
      <c r="I785">
        <v>4</v>
      </c>
      <c r="J785">
        <v>2.58</v>
      </c>
      <c r="K785">
        <v>10.32</v>
      </c>
    </row>
    <row r="786" spans="1:11" x14ac:dyDescent="0.3">
      <c r="A786">
        <v>1785</v>
      </c>
      <c r="B786" s="3" t="s">
        <v>363</v>
      </c>
      <c r="C786" s="1" t="s">
        <v>553</v>
      </c>
      <c r="D786" t="s">
        <v>26</v>
      </c>
      <c r="E786" t="s">
        <v>34</v>
      </c>
      <c r="F786" t="s">
        <v>21</v>
      </c>
      <c r="G786" t="s">
        <v>70</v>
      </c>
      <c r="H786" t="s">
        <v>71</v>
      </c>
      <c r="I786">
        <v>3</v>
      </c>
      <c r="J786">
        <v>3.08</v>
      </c>
      <c r="K786">
        <v>9.24</v>
      </c>
    </row>
    <row r="787" spans="1:11" x14ac:dyDescent="0.3">
      <c r="A787">
        <v>1786</v>
      </c>
      <c r="B787" s="3" t="s">
        <v>221</v>
      </c>
      <c r="C787" s="1" t="s">
        <v>720</v>
      </c>
      <c r="D787" t="s">
        <v>13</v>
      </c>
      <c r="E787" t="s">
        <v>34</v>
      </c>
      <c r="F787" t="s">
        <v>28</v>
      </c>
      <c r="G787" t="s">
        <v>22</v>
      </c>
      <c r="H787" t="s">
        <v>23</v>
      </c>
      <c r="I787">
        <v>1</v>
      </c>
      <c r="J787">
        <v>3.52</v>
      </c>
      <c r="K787">
        <v>3.52</v>
      </c>
    </row>
    <row r="788" spans="1:11" x14ac:dyDescent="0.3">
      <c r="A788">
        <v>1787</v>
      </c>
      <c r="B788" s="3" t="s">
        <v>112</v>
      </c>
      <c r="C788" s="1" t="s">
        <v>552</v>
      </c>
      <c r="D788" t="s">
        <v>48</v>
      </c>
      <c r="E788" t="s">
        <v>14</v>
      </c>
      <c r="F788" t="s">
        <v>15</v>
      </c>
      <c r="G788" t="s">
        <v>29</v>
      </c>
      <c r="H788" t="s">
        <v>43</v>
      </c>
      <c r="I788">
        <v>3</v>
      </c>
      <c r="J788">
        <v>5.35</v>
      </c>
      <c r="K788">
        <v>16.05</v>
      </c>
    </row>
    <row r="789" spans="1:11" x14ac:dyDescent="0.3">
      <c r="A789">
        <v>1788</v>
      </c>
      <c r="B789" s="3" t="s">
        <v>183</v>
      </c>
      <c r="C789" s="1" t="s">
        <v>579</v>
      </c>
      <c r="D789" t="s">
        <v>48</v>
      </c>
      <c r="E789" t="s">
        <v>34</v>
      </c>
      <c r="F789" t="s">
        <v>15</v>
      </c>
      <c r="G789" t="s">
        <v>29</v>
      </c>
      <c r="H789" t="s">
        <v>57</v>
      </c>
      <c r="I789">
        <v>4</v>
      </c>
      <c r="J789">
        <v>5.4</v>
      </c>
      <c r="K789">
        <v>21.6</v>
      </c>
    </row>
    <row r="790" spans="1:11" x14ac:dyDescent="0.3">
      <c r="A790">
        <v>1789</v>
      </c>
      <c r="B790" s="3" t="s">
        <v>183</v>
      </c>
      <c r="C790" s="1" t="s">
        <v>696</v>
      </c>
      <c r="D790" t="s">
        <v>48</v>
      </c>
      <c r="E790" t="s">
        <v>34</v>
      </c>
      <c r="F790" t="s">
        <v>21</v>
      </c>
      <c r="G790" t="s">
        <v>29</v>
      </c>
      <c r="H790" t="s">
        <v>30</v>
      </c>
      <c r="I790">
        <v>4</v>
      </c>
      <c r="J790">
        <v>5.28</v>
      </c>
      <c r="K790">
        <v>21.12</v>
      </c>
    </row>
    <row r="791" spans="1:11" x14ac:dyDescent="0.3">
      <c r="A791">
        <v>1790</v>
      </c>
      <c r="B791" s="3" t="s">
        <v>62</v>
      </c>
      <c r="C791" s="1" t="s">
        <v>721</v>
      </c>
      <c r="D791" t="s">
        <v>33</v>
      </c>
      <c r="E791" t="s">
        <v>39</v>
      </c>
      <c r="F791" t="s">
        <v>21</v>
      </c>
      <c r="G791" t="s">
        <v>22</v>
      </c>
      <c r="H791" t="s">
        <v>23</v>
      </c>
      <c r="I791">
        <v>3</v>
      </c>
      <c r="J791">
        <v>5.74</v>
      </c>
      <c r="K791">
        <v>17.22</v>
      </c>
    </row>
    <row r="792" spans="1:11" x14ac:dyDescent="0.3">
      <c r="A792">
        <v>1791</v>
      </c>
      <c r="B792" s="3" t="s">
        <v>319</v>
      </c>
      <c r="C792" s="1" t="s">
        <v>493</v>
      </c>
      <c r="D792" t="s">
        <v>26</v>
      </c>
      <c r="E792" t="s">
        <v>39</v>
      </c>
      <c r="F792" t="s">
        <v>21</v>
      </c>
      <c r="G792" t="s">
        <v>29</v>
      </c>
      <c r="H792" t="s">
        <v>52</v>
      </c>
      <c r="I792">
        <v>1</v>
      </c>
      <c r="J792">
        <v>3.51</v>
      </c>
      <c r="K792">
        <v>3.51</v>
      </c>
    </row>
    <row r="793" spans="1:11" x14ac:dyDescent="0.3">
      <c r="A793">
        <v>1792</v>
      </c>
      <c r="B793" s="3" t="s">
        <v>64</v>
      </c>
      <c r="C793" s="1" t="s">
        <v>317</v>
      </c>
      <c r="D793" t="s">
        <v>48</v>
      </c>
      <c r="E793" t="s">
        <v>39</v>
      </c>
      <c r="F793" t="s">
        <v>15</v>
      </c>
      <c r="G793" t="s">
        <v>16</v>
      </c>
      <c r="H793" t="s">
        <v>17</v>
      </c>
      <c r="I793">
        <v>2</v>
      </c>
      <c r="J793">
        <v>4.04</v>
      </c>
      <c r="K793">
        <v>8.08</v>
      </c>
    </row>
    <row r="794" spans="1:11" x14ac:dyDescent="0.3">
      <c r="A794">
        <v>1793</v>
      </c>
      <c r="B794" s="3" t="s">
        <v>213</v>
      </c>
      <c r="C794" s="1" t="s">
        <v>722</v>
      </c>
      <c r="D794" t="s">
        <v>13</v>
      </c>
      <c r="E794" t="s">
        <v>20</v>
      </c>
      <c r="F794" t="s">
        <v>15</v>
      </c>
      <c r="G794" t="s">
        <v>70</v>
      </c>
      <c r="H794" t="s">
        <v>95</v>
      </c>
      <c r="I794">
        <v>4</v>
      </c>
      <c r="J794">
        <v>2.4900000000000002</v>
      </c>
      <c r="K794">
        <v>9.9600000000000009</v>
      </c>
    </row>
    <row r="795" spans="1:11" x14ac:dyDescent="0.3">
      <c r="A795">
        <v>1794</v>
      </c>
      <c r="B795" s="3" t="s">
        <v>326</v>
      </c>
      <c r="C795" s="1" t="s">
        <v>267</v>
      </c>
      <c r="D795" t="s">
        <v>33</v>
      </c>
      <c r="E795" t="s">
        <v>79</v>
      </c>
      <c r="F795" t="s">
        <v>21</v>
      </c>
      <c r="G795" t="s">
        <v>29</v>
      </c>
      <c r="H795" t="s">
        <v>43</v>
      </c>
      <c r="I795">
        <v>1</v>
      </c>
      <c r="J795">
        <v>2.08</v>
      </c>
      <c r="K795">
        <v>2.08</v>
      </c>
    </row>
    <row r="796" spans="1:11" x14ac:dyDescent="0.3">
      <c r="A796">
        <v>1795</v>
      </c>
      <c r="B796" s="3" t="s">
        <v>488</v>
      </c>
      <c r="C796" s="1" t="s">
        <v>19</v>
      </c>
      <c r="D796" t="s">
        <v>33</v>
      </c>
      <c r="E796" t="s">
        <v>14</v>
      </c>
      <c r="F796" t="s">
        <v>15</v>
      </c>
      <c r="G796" t="s">
        <v>16</v>
      </c>
      <c r="H796" t="s">
        <v>76</v>
      </c>
      <c r="I796">
        <v>2</v>
      </c>
      <c r="J796">
        <v>3.36</v>
      </c>
      <c r="K796">
        <v>6.72</v>
      </c>
    </row>
    <row r="797" spans="1:11" x14ac:dyDescent="0.3">
      <c r="A797">
        <v>1796</v>
      </c>
      <c r="B797" s="3" t="s">
        <v>58</v>
      </c>
      <c r="C797" s="1" t="s">
        <v>411</v>
      </c>
      <c r="D797" t="s">
        <v>42</v>
      </c>
      <c r="E797" t="s">
        <v>14</v>
      </c>
      <c r="F797" t="s">
        <v>21</v>
      </c>
      <c r="G797" t="s">
        <v>70</v>
      </c>
      <c r="H797" t="s">
        <v>90</v>
      </c>
      <c r="I797">
        <v>2</v>
      </c>
      <c r="J797">
        <v>2.5099999999999998</v>
      </c>
      <c r="K797">
        <v>5.0199999999999996</v>
      </c>
    </row>
    <row r="798" spans="1:11" x14ac:dyDescent="0.3">
      <c r="A798">
        <v>1797</v>
      </c>
      <c r="B798" s="3" t="s">
        <v>598</v>
      </c>
      <c r="C798" s="1" t="s">
        <v>265</v>
      </c>
      <c r="D798" t="s">
        <v>42</v>
      </c>
      <c r="E798" t="s">
        <v>20</v>
      </c>
      <c r="F798" t="s">
        <v>21</v>
      </c>
      <c r="G798" t="s">
        <v>22</v>
      </c>
      <c r="H798" t="s">
        <v>23</v>
      </c>
      <c r="I798">
        <v>3</v>
      </c>
      <c r="J798">
        <v>4.51</v>
      </c>
      <c r="K798">
        <v>13.53</v>
      </c>
    </row>
    <row r="799" spans="1:11" x14ac:dyDescent="0.3">
      <c r="A799">
        <v>1798</v>
      </c>
      <c r="B799" s="3" t="s">
        <v>516</v>
      </c>
      <c r="C799" s="1" t="s">
        <v>718</v>
      </c>
      <c r="D799" t="s">
        <v>13</v>
      </c>
      <c r="E799" t="s">
        <v>39</v>
      </c>
      <c r="F799" t="s">
        <v>21</v>
      </c>
      <c r="G799" t="s">
        <v>70</v>
      </c>
      <c r="H799" t="s">
        <v>95</v>
      </c>
      <c r="I799">
        <v>5</v>
      </c>
      <c r="J799">
        <v>5.71</v>
      </c>
      <c r="K799">
        <v>28.55</v>
      </c>
    </row>
    <row r="800" spans="1:11" x14ac:dyDescent="0.3">
      <c r="A800">
        <v>1799</v>
      </c>
      <c r="B800" s="3" t="s">
        <v>560</v>
      </c>
      <c r="C800" s="1" t="s">
        <v>723</v>
      </c>
      <c r="D800" t="s">
        <v>48</v>
      </c>
      <c r="E800" t="s">
        <v>27</v>
      </c>
      <c r="F800" t="s">
        <v>15</v>
      </c>
      <c r="G800" t="s">
        <v>22</v>
      </c>
      <c r="H800" t="s">
        <v>23</v>
      </c>
      <c r="I800">
        <v>3</v>
      </c>
      <c r="J800">
        <v>5.74</v>
      </c>
      <c r="K800">
        <v>17.22</v>
      </c>
    </row>
    <row r="801" spans="1:11" x14ac:dyDescent="0.3">
      <c r="A801">
        <v>1800</v>
      </c>
      <c r="B801" s="3" t="s">
        <v>464</v>
      </c>
      <c r="C801" s="1" t="s">
        <v>101</v>
      </c>
      <c r="D801" t="s">
        <v>48</v>
      </c>
      <c r="E801" t="s">
        <v>14</v>
      </c>
      <c r="F801" t="s">
        <v>21</v>
      </c>
      <c r="G801" t="s">
        <v>16</v>
      </c>
      <c r="H801" t="s">
        <v>76</v>
      </c>
      <c r="I801">
        <v>5</v>
      </c>
      <c r="J801">
        <v>3.65</v>
      </c>
      <c r="K801">
        <v>18.25</v>
      </c>
    </row>
    <row r="802" spans="1:11" x14ac:dyDescent="0.3">
      <c r="A802">
        <v>1801</v>
      </c>
      <c r="B802" s="3" t="s">
        <v>243</v>
      </c>
      <c r="C802" s="1" t="s">
        <v>587</v>
      </c>
      <c r="D802" t="s">
        <v>48</v>
      </c>
      <c r="E802" t="s">
        <v>39</v>
      </c>
      <c r="F802" t="s">
        <v>28</v>
      </c>
      <c r="G802" t="s">
        <v>22</v>
      </c>
      <c r="H802" t="s">
        <v>23</v>
      </c>
      <c r="I802">
        <v>2</v>
      </c>
      <c r="J802">
        <v>3.92</v>
      </c>
      <c r="K802">
        <v>7.84</v>
      </c>
    </row>
    <row r="803" spans="1:11" x14ac:dyDescent="0.3">
      <c r="A803">
        <v>1802</v>
      </c>
      <c r="B803" s="3" t="s">
        <v>290</v>
      </c>
      <c r="C803" s="1" t="s">
        <v>115</v>
      </c>
      <c r="D803" t="s">
        <v>33</v>
      </c>
      <c r="E803" t="s">
        <v>20</v>
      </c>
      <c r="F803" t="s">
        <v>21</v>
      </c>
      <c r="G803" t="s">
        <v>29</v>
      </c>
      <c r="H803" t="s">
        <v>43</v>
      </c>
      <c r="I803">
        <v>5</v>
      </c>
      <c r="J803">
        <v>3.89</v>
      </c>
      <c r="K803">
        <v>19.45</v>
      </c>
    </row>
    <row r="804" spans="1:11" x14ac:dyDescent="0.3">
      <c r="A804">
        <v>1803</v>
      </c>
      <c r="B804" s="3" t="s">
        <v>118</v>
      </c>
      <c r="C804" s="1" t="s">
        <v>724</v>
      </c>
      <c r="D804" t="s">
        <v>42</v>
      </c>
      <c r="E804" t="s">
        <v>27</v>
      </c>
      <c r="F804" t="s">
        <v>15</v>
      </c>
      <c r="G804" t="s">
        <v>70</v>
      </c>
      <c r="H804" t="s">
        <v>95</v>
      </c>
      <c r="I804">
        <v>1</v>
      </c>
      <c r="J804">
        <v>5.58</v>
      </c>
      <c r="K804">
        <v>5.58</v>
      </c>
    </row>
    <row r="805" spans="1:11" x14ac:dyDescent="0.3">
      <c r="A805">
        <v>1804</v>
      </c>
      <c r="B805" s="3" t="s">
        <v>303</v>
      </c>
      <c r="C805" s="1" t="s">
        <v>195</v>
      </c>
      <c r="D805" t="s">
        <v>26</v>
      </c>
      <c r="E805" t="s">
        <v>14</v>
      </c>
      <c r="F805" t="s">
        <v>21</v>
      </c>
      <c r="G805" t="s">
        <v>22</v>
      </c>
      <c r="H805" t="s">
        <v>23</v>
      </c>
      <c r="I805">
        <v>4</v>
      </c>
      <c r="J805">
        <v>2.35</v>
      </c>
      <c r="K805">
        <v>9.4</v>
      </c>
    </row>
    <row r="806" spans="1:11" x14ac:dyDescent="0.3">
      <c r="A806">
        <v>1805</v>
      </c>
      <c r="B806" s="3" t="s">
        <v>68</v>
      </c>
      <c r="C806" s="1" t="s">
        <v>345</v>
      </c>
      <c r="D806" t="s">
        <v>13</v>
      </c>
      <c r="E806" t="s">
        <v>27</v>
      </c>
      <c r="F806" t="s">
        <v>15</v>
      </c>
      <c r="G806" t="s">
        <v>70</v>
      </c>
      <c r="H806" t="s">
        <v>71</v>
      </c>
      <c r="I806">
        <v>5</v>
      </c>
      <c r="J806">
        <v>3.15</v>
      </c>
      <c r="K806">
        <v>15.75</v>
      </c>
    </row>
    <row r="807" spans="1:11" x14ac:dyDescent="0.3">
      <c r="A807">
        <v>1806</v>
      </c>
      <c r="B807" s="3" t="s">
        <v>106</v>
      </c>
      <c r="C807" s="1" t="s">
        <v>174</v>
      </c>
      <c r="D807" t="s">
        <v>26</v>
      </c>
      <c r="E807" t="s">
        <v>39</v>
      </c>
      <c r="F807" t="s">
        <v>15</v>
      </c>
      <c r="G807" t="s">
        <v>22</v>
      </c>
      <c r="H807" t="s">
        <v>23</v>
      </c>
      <c r="I807">
        <v>2</v>
      </c>
      <c r="J807">
        <v>4.71</v>
      </c>
      <c r="K807">
        <v>9.42</v>
      </c>
    </row>
    <row r="808" spans="1:11" x14ac:dyDescent="0.3">
      <c r="A808">
        <v>1807</v>
      </c>
      <c r="B808" s="3" t="s">
        <v>256</v>
      </c>
      <c r="C808" s="1" t="s">
        <v>495</v>
      </c>
      <c r="D808" t="s">
        <v>33</v>
      </c>
      <c r="E808" t="s">
        <v>27</v>
      </c>
      <c r="F808" t="s">
        <v>21</v>
      </c>
      <c r="G808" t="s">
        <v>29</v>
      </c>
      <c r="H808" t="s">
        <v>43</v>
      </c>
      <c r="I808">
        <v>3</v>
      </c>
      <c r="J808">
        <v>5.59</v>
      </c>
      <c r="K808">
        <v>16.77</v>
      </c>
    </row>
    <row r="809" spans="1:11" x14ac:dyDescent="0.3">
      <c r="A809">
        <v>1808</v>
      </c>
      <c r="B809" s="3" t="s">
        <v>96</v>
      </c>
      <c r="C809" s="1" t="s">
        <v>725</v>
      </c>
      <c r="D809" t="s">
        <v>26</v>
      </c>
      <c r="E809" t="s">
        <v>79</v>
      </c>
      <c r="F809" t="s">
        <v>15</v>
      </c>
      <c r="G809" t="s">
        <v>16</v>
      </c>
      <c r="H809" t="s">
        <v>17</v>
      </c>
      <c r="I809">
        <v>5</v>
      </c>
      <c r="J809">
        <v>5.19</v>
      </c>
      <c r="K809">
        <v>25.95</v>
      </c>
    </row>
    <row r="810" spans="1:11" x14ac:dyDescent="0.3">
      <c r="A810">
        <v>1809</v>
      </c>
      <c r="B810" s="3" t="s">
        <v>135</v>
      </c>
      <c r="C810" s="1" t="s">
        <v>491</v>
      </c>
      <c r="D810" t="s">
        <v>26</v>
      </c>
      <c r="E810" t="s">
        <v>79</v>
      </c>
      <c r="F810" t="s">
        <v>28</v>
      </c>
      <c r="G810" t="s">
        <v>16</v>
      </c>
      <c r="H810" t="s">
        <v>35</v>
      </c>
      <c r="I810">
        <v>5</v>
      </c>
      <c r="J810">
        <v>4.41</v>
      </c>
      <c r="K810">
        <v>22.05</v>
      </c>
    </row>
    <row r="811" spans="1:11" x14ac:dyDescent="0.3">
      <c r="A811">
        <v>1810</v>
      </c>
      <c r="B811" s="3" t="s">
        <v>415</v>
      </c>
      <c r="C811" s="1" t="s">
        <v>678</v>
      </c>
      <c r="D811" t="s">
        <v>48</v>
      </c>
      <c r="E811" t="s">
        <v>34</v>
      </c>
      <c r="F811" t="s">
        <v>21</v>
      </c>
      <c r="G811" t="s">
        <v>29</v>
      </c>
      <c r="H811" t="s">
        <v>43</v>
      </c>
      <c r="I811">
        <v>3</v>
      </c>
      <c r="J811">
        <v>3.2</v>
      </c>
      <c r="K811">
        <v>9.6</v>
      </c>
    </row>
    <row r="812" spans="1:11" x14ac:dyDescent="0.3">
      <c r="A812">
        <v>1811</v>
      </c>
      <c r="B812" s="3" t="s">
        <v>183</v>
      </c>
      <c r="C812" s="1" t="s">
        <v>302</v>
      </c>
      <c r="D812" t="s">
        <v>48</v>
      </c>
      <c r="E812" t="s">
        <v>34</v>
      </c>
      <c r="F812" t="s">
        <v>28</v>
      </c>
      <c r="G812" t="s">
        <v>29</v>
      </c>
      <c r="H812" t="s">
        <v>52</v>
      </c>
      <c r="I812">
        <v>1</v>
      </c>
      <c r="J812">
        <v>3.83</v>
      </c>
      <c r="K812">
        <v>3.83</v>
      </c>
    </row>
    <row r="813" spans="1:11" x14ac:dyDescent="0.3">
      <c r="A813">
        <v>1812</v>
      </c>
      <c r="B813" s="3" t="s">
        <v>661</v>
      </c>
      <c r="C813" s="1" t="s">
        <v>726</v>
      </c>
      <c r="D813" t="s">
        <v>13</v>
      </c>
      <c r="E813" t="s">
        <v>51</v>
      </c>
      <c r="F813" t="s">
        <v>21</v>
      </c>
      <c r="G813" t="s">
        <v>70</v>
      </c>
      <c r="H813" t="s">
        <v>95</v>
      </c>
      <c r="I813">
        <v>5</v>
      </c>
      <c r="J813">
        <v>3.66</v>
      </c>
      <c r="K813">
        <v>18.3</v>
      </c>
    </row>
    <row r="814" spans="1:11" x14ac:dyDescent="0.3">
      <c r="A814">
        <v>1813</v>
      </c>
      <c r="B814" s="3" t="s">
        <v>488</v>
      </c>
      <c r="C814" s="1" t="s">
        <v>727</v>
      </c>
      <c r="D814" t="s">
        <v>33</v>
      </c>
      <c r="E814" t="s">
        <v>14</v>
      </c>
      <c r="F814" t="s">
        <v>28</v>
      </c>
      <c r="G814" t="s">
        <v>16</v>
      </c>
      <c r="H814" t="s">
        <v>17</v>
      </c>
      <c r="I814">
        <v>4</v>
      </c>
      <c r="J814">
        <v>3.73</v>
      </c>
      <c r="K814">
        <v>14.92</v>
      </c>
    </row>
    <row r="815" spans="1:11" x14ac:dyDescent="0.3">
      <c r="A815">
        <v>1814</v>
      </c>
      <c r="B815" s="3" t="s">
        <v>473</v>
      </c>
      <c r="C815" s="1" t="s">
        <v>32</v>
      </c>
      <c r="D815" t="s">
        <v>33</v>
      </c>
      <c r="E815" t="s">
        <v>27</v>
      </c>
      <c r="F815" t="s">
        <v>15</v>
      </c>
      <c r="G815" t="s">
        <v>70</v>
      </c>
      <c r="H815" t="s">
        <v>95</v>
      </c>
      <c r="I815">
        <v>4</v>
      </c>
      <c r="J815">
        <v>3.84</v>
      </c>
      <c r="K815">
        <v>15.36</v>
      </c>
    </row>
    <row r="816" spans="1:11" x14ac:dyDescent="0.3">
      <c r="A816">
        <v>1815</v>
      </c>
      <c r="B816" s="3" t="s">
        <v>368</v>
      </c>
      <c r="C816" s="1" t="s">
        <v>728</v>
      </c>
      <c r="D816" t="s">
        <v>38</v>
      </c>
      <c r="E816" t="s">
        <v>27</v>
      </c>
      <c r="F816" t="s">
        <v>15</v>
      </c>
      <c r="G816" t="s">
        <v>22</v>
      </c>
      <c r="H816" t="s">
        <v>23</v>
      </c>
      <c r="I816">
        <v>3</v>
      </c>
      <c r="J816">
        <v>3.36</v>
      </c>
      <c r="K816">
        <v>10.08</v>
      </c>
    </row>
    <row r="817" spans="1:11" x14ac:dyDescent="0.3">
      <c r="A817">
        <v>1816</v>
      </c>
      <c r="B817" s="3" t="s">
        <v>126</v>
      </c>
      <c r="C817" s="1" t="s">
        <v>47</v>
      </c>
      <c r="D817" t="s">
        <v>26</v>
      </c>
      <c r="E817" t="s">
        <v>14</v>
      </c>
      <c r="F817" t="s">
        <v>28</v>
      </c>
      <c r="G817" t="s">
        <v>22</v>
      </c>
      <c r="H817" t="s">
        <v>23</v>
      </c>
      <c r="I817">
        <v>1</v>
      </c>
      <c r="J817">
        <v>4.05</v>
      </c>
      <c r="K817">
        <v>4.05</v>
      </c>
    </row>
    <row r="818" spans="1:11" x14ac:dyDescent="0.3">
      <c r="A818">
        <v>1817</v>
      </c>
      <c r="B818" s="3" t="s">
        <v>348</v>
      </c>
      <c r="C818" s="1" t="s">
        <v>729</v>
      </c>
      <c r="D818" t="s">
        <v>13</v>
      </c>
      <c r="E818" t="s">
        <v>14</v>
      </c>
      <c r="F818" t="s">
        <v>21</v>
      </c>
      <c r="G818" t="s">
        <v>29</v>
      </c>
      <c r="H818" t="s">
        <v>52</v>
      </c>
      <c r="I818">
        <v>3</v>
      </c>
      <c r="J818">
        <v>4.4000000000000004</v>
      </c>
      <c r="K818">
        <v>13.2</v>
      </c>
    </row>
    <row r="819" spans="1:11" x14ac:dyDescent="0.3">
      <c r="A819">
        <v>1818</v>
      </c>
      <c r="B819" s="3" t="s">
        <v>475</v>
      </c>
      <c r="C819" s="1" t="s">
        <v>386</v>
      </c>
      <c r="D819" t="s">
        <v>48</v>
      </c>
      <c r="E819" t="s">
        <v>27</v>
      </c>
      <c r="F819" t="s">
        <v>21</v>
      </c>
      <c r="G819" t="s">
        <v>70</v>
      </c>
      <c r="H819" t="s">
        <v>95</v>
      </c>
      <c r="I819">
        <v>4</v>
      </c>
      <c r="J819">
        <v>5.8</v>
      </c>
      <c r="K819">
        <v>23.2</v>
      </c>
    </row>
    <row r="820" spans="1:11" x14ac:dyDescent="0.3">
      <c r="A820">
        <v>1819</v>
      </c>
      <c r="B820" s="3" t="s">
        <v>137</v>
      </c>
      <c r="C820" s="1" t="s">
        <v>526</v>
      </c>
      <c r="D820" t="s">
        <v>33</v>
      </c>
      <c r="E820" t="s">
        <v>51</v>
      </c>
      <c r="F820" t="s">
        <v>21</v>
      </c>
      <c r="G820" t="s">
        <v>22</v>
      </c>
      <c r="H820" t="s">
        <v>23</v>
      </c>
      <c r="I820">
        <v>2</v>
      </c>
      <c r="J820">
        <v>5.43</v>
      </c>
      <c r="K820">
        <v>10.86</v>
      </c>
    </row>
    <row r="821" spans="1:11" x14ac:dyDescent="0.3">
      <c r="A821">
        <v>1820</v>
      </c>
      <c r="B821" s="3" t="s">
        <v>480</v>
      </c>
      <c r="C821" s="1" t="s">
        <v>622</v>
      </c>
      <c r="D821" t="s">
        <v>13</v>
      </c>
      <c r="E821" t="s">
        <v>14</v>
      </c>
      <c r="F821" t="s">
        <v>15</v>
      </c>
      <c r="G821" t="s">
        <v>29</v>
      </c>
      <c r="H821" t="s">
        <v>43</v>
      </c>
      <c r="I821">
        <v>5</v>
      </c>
      <c r="J821">
        <v>4.7</v>
      </c>
      <c r="K821">
        <v>23.5</v>
      </c>
    </row>
    <row r="822" spans="1:11" x14ac:dyDescent="0.3">
      <c r="A822">
        <v>1821</v>
      </c>
      <c r="B822" s="3" t="s">
        <v>300</v>
      </c>
      <c r="C822" s="1" t="s">
        <v>266</v>
      </c>
      <c r="D822" t="s">
        <v>13</v>
      </c>
      <c r="E822" t="s">
        <v>79</v>
      </c>
      <c r="F822" t="s">
        <v>28</v>
      </c>
      <c r="G822" t="s">
        <v>29</v>
      </c>
      <c r="H822" t="s">
        <v>43</v>
      </c>
      <c r="I822">
        <v>4</v>
      </c>
      <c r="J822">
        <v>2.38</v>
      </c>
      <c r="K822">
        <v>9.52</v>
      </c>
    </row>
    <row r="823" spans="1:11" x14ac:dyDescent="0.3">
      <c r="A823">
        <v>1822</v>
      </c>
      <c r="B823" s="3" t="s">
        <v>151</v>
      </c>
      <c r="C823" s="1" t="s">
        <v>318</v>
      </c>
      <c r="D823" t="s">
        <v>13</v>
      </c>
      <c r="E823" t="s">
        <v>34</v>
      </c>
      <c r="F823" t="s">
        <v>28</v>
      </c>
      <c r="G823" t="s">
        <v>70</v>
      </c>
      <c r="H823" t="s">
        <v>71</v>
      </c>
      <c r="I823">
        <v>3</v>
      </c>
      <c r="J823">
        <v>2.57</v>
      </c>
      <c r="K823">
        <v>7.71</v>
      </c>
    </row>
    <row r="824" spans="1:11" x14ac:dyDescent="0.3">
      <c r="A824">
        <v>1823</v>
      </c>
      <c r="B824" s="3" t="s">
        <v>208</v>
      </c>
      <c r="C824" s="1" t="s">
        <v>289</v>
      </c>
      <c r="D824" t="s">
        <v>42</v>
      </c>
      <c r="E824" t="s">
        <v>34</v>
      </c>
      <c r="F824" t="s">
        <v>15</v>
      </c>
      <c r="G824" t="s">
        <v>16</v>
      </c>
      <c r="H824" t="s">
        <v>76</v>
      </c>
      <c r="I824">
        <v>1</v>
      </c>
      <c r="J824">
        <v>5.47</v>
      </c>
      <c r="K824">
        <v>5.47</v>
      </c>
    </row>
    <row r="825" spans="1:11" x14ac:dyDescent="0.3">
      <c r="A825">
        <v>1824</v>
      </c>
      <c r="B825" s="3" t="s">
        <v>175</v>
      </c>
      <c r="C825" s="1" t="s">
        <v>730</v>
      </c>
      <c r="D825" t="s">
        <v>48</v>
      </c>
      <c r="E825" t="s">
        <v>51</v>
      </c>
      <c r="F825" t="s">
        <v>15</v>
      </c>
      <c r="G825" t="s">
        <v>70</v>
      </c>
      <c r="H825" t="s">
        <v>95</v>
      </c>
      <c r="I825">
        <v>4</v>
      </c>
      <c r="J825">
        <v>4.07</v>
      </c>
      <c r="K825">
        <v>16.28</v>
      </c>
    </row>
    <row r="826" spans="1:11" x14ac:dyDescent="0.3">
      <c r="A826">
        <v>1825</v>
      </c>
      <c r="B826" s="3" t="s">
        <v>169</v>
      </c>
      <c r="C826" s="1" t="s">
        <v>731</v>
      </c>
      <c r="D826" t="s">
        <v>48</v>
      </c>
      <c r="E826" t="s">
        <v>20</v>
      </c>
      <c r="F826" t="s">
        <v>15</v>
      </c>
      <c r="G826" t="s">
        <v>22</v>
      </c>
      <c r="H826" t="s">
        <v>23</v>
      </c>
      <c r="I826">
        <v>2</v>
      </c>
      <c r="J826">
        <v>4.87</v>
      </c>
      <c r="K826">
        <v>9.74</v>
      </c>
    </row>
    <row r="827" spans="1:11" x14ac:dyDescent="0.3">
      <c r="A827">
        <v>1826</v>
      </c>
      <c r="B827" s="3" t="s">
        <v>120</v>
      </c>
      <c r="C827" s="1" t="s">
        <v>448</v>
      </c>
      <c r="D827" t="s">
        <v>33</v>
      </c>
      <c r="E827" t="s">
        <v>20</v>
      </c>
      <c r="F827" t="s">
        <v>28</v>
      </c>
      <c r="G827" t="s">
        <v>16</v>
      </c>
      <c r="H827" t="s">
        <v>17</v>
      </c>
      <c r="I827">
        <v>1</v>
      </c>
      <c r="J827">
        <v>4.82</v>
      </c>
      <c r="K827">
        <v>4.82</v>
      </c>
    </row>
    <row r="828" spans="1:11" x14ac:dyDescent="0.3">
      <c r="A828">
        <v>1827</v>
      </c>
      <c r="B828" s="3" t="s">
        <v>308</v>
      </c>
      <c r="C828" s="1" t="s">
        <v>452</v>
      </c>
      <c r="D828" t="s">
        <v>42</v>
      </c>
      <c r="E828" t="s">
        <v>27</v>
      </c>
      <c r="F828" t="s">
        <v>15</v>
      </c>
      <c r="G828" t="s">
        <v>16</v>
      </c>
      <c r="H828" t="s">
        <v>17</v>
      </c>
      <c r="I828">
        <v>5</v>
      </c>
      <c r="J828">
        <v>2.19</v>
      </c>
      <c r="K828">
        <v>10.95</v>
      </c>
    </row>
    <row r="829" spans="1:11" x14ac:dyDescent="0.3">
      <c r="A829">
        <v>1828</v>
      </c>
      <c r="B829" s="3" t="s">
        <v>346</v>
      </c>
      <c r="C829" s="1" t="s">
        <v>732</v>
      </c>
      <c r="D829" t="s">
        <v>48</v>
      </c>
      <c r="E829" t="s">
        <v>51</v>
      </c>
      <c r="F829" t="s">
        <v>21</v>
      </c>
      <c r="G829" t="s">
        <v>29</v>
      </c>
      <c r="H829" t="s">
        <v>43</v>
      </c>
      <c r="I829">
        <v>1</v>
      </c>
      <c r="J829">
        <v>5.14</v>
      </c>
      <c r="K829">
        <v>5.14</v>
      </c>
    </row>
    <row r="830" spans="1:11" x14ac:dyDescent="0.3">
      <c r="A830">
        <v>1829</v>
      </c>
      <c r="B830" s="3" t="s">
        <v>192</v>
      </c>
      <c r="C830" s="1" t="s">
        <v>463</v>
      </c>
      <c r="D830" t="s">
        <v>13</v>
      </c>
      <c r="E830" t="s">
        <v>27</v>
      </c>
      <c r="F830" t="s">
        <v>15</v>
      </c>
      <c r="G830" t="s">
        <v>70</v>
      </c>
      <c r="H830" t="s">
        <v>90</v>
      </c>
      <c r="I830">
        <v>3</v>
      </c>
      <c r="J830">
        <v>2.33</v>
      </c>
      <c r="K830">
        <v>6.99</v>
      </c>
    </row>
    <row r="831" spans="1:11" x14ac:dyDescent="0.3">
      <c r="A831">
        <v>1830</v>
      </c>
      <c r="B831" s="3" t="s">
        <v>328</v>
      </c>
      <c r="C831" s="1" t="s">
        <v>733</v>
      </c>
      <c r="D831" t="s">
        <v>26</v>
      </c>
      <c r="E831" t="s">
        <v>34</v>
      </c>
      <c r="F831" t="s">
        <v>28</v>
      </c>
      <c r="G831" t="s">
        <v>22</v>
      </c>
      <c r="H831" t="s">
        <v>23</v>
      </c>
      <c r="I831">
        <v>1</v>
      </c>
      <c r="J831">
        <v>3.23</v>
      </c>
      <c r="K831">
        <v>3.23</v>
      </c>
    </row>
    <row r="832" spans="1:11" x14ac:dyDescent="0.3">
      <c r="A832">
        <v>1831</v>
      </c>
      <c r="B832" s="3" t="s">
        <v>488</v>
      </c>
      <c r="C832" s="1" t="s">
        <v>343</v>
      </c>
      <c r="D832" t="s">
        <v>33</v>
      </c>
      <c r="E832" t="s">
        <v>14</v>
      </c>
      <c r="F832" t="s">
        <v>28</v>
      </c>
      <c r="G832" t="s">
        <v>29</v>
      </c>
      <c r="H832" t="s">
        <v>52</v>
      </c>
      <c r="I832">
        <v>5</v>
      </c>
      <c r="J832">
        <v>4.5199999999999996</v>
      </c>
      <c r="K832">
        <v>22.6</v>
      </c>
    </row>
    <row r="833" spans="1:11" x14ac:dyDescent="0.3">
      <c r="A833">
        <v>1832</v>
      </c>
      <c r="B833" s="3" t="s">
        <v>88</v>
      </c>
      <c r="C833" s="1" t="s">
        <v>217</v>
      </c>
      <c r="D833" t="s">
        <v>42</v>
      </c>
      <c r="E833" t="s">
        <v>39</v>
      </c>
      <c r="F833" t="s">
        <v>15</v>
      </c>
      <c r="G833" t="s">
        <v>22</v>
      </c>
      <c r="H833" t="s">
        <v>23</v>
      </c>
      <c r="I833">
        <v>3</v>
      </c>
      <c r="J833">
        <v>3.77</v>
      </c>
      <c r="K833">
        <v>11.31</v>
      </c>
    </row>
    <row r="834" spans="1:11" x14ac:dyDescent="0.3">
      <c r="A834">
        <v>1833</v>
      </c>
      <c r="B834" s="3" t="s">
        <v>102</v>
      </c>
      <c r="C834" s="1" t="s">
        <v>734</v>
      </c>
      <c r="D834" t="s">
        <v>33</v>
      </c>
      <c r="E834" t="s">
        <v>14</v>
      </c>
      <c r="F834" t="s">
        <v>21</v>
      </c>
      <c r="G834" t="s">
        <v>70</v>
      </c>
      <c r="H834" t="s">
        <v>90</v>
      </c>
      <c r="I834">
        <v>4</v>
      </c>
      <c r="J834">
        <v>3.79</v>
      </c>
      <c r="K834">
        <v>15.16</v>
      </c>
    </row>
    <row r="835" spans="1:11" x14ac:dyDescent="0.3">
      <c r="A835">
        <v>1834</v>
      </c>
      <c r="B835" s="3" t="s">
        <v>62</v>
      </c>
      <c r="C835" s="1" t="s">
        <v>735</v>
      </c>
      <c r="D835" t="s">
        <v>33</v>
      </c>
      <c r="E835" t="s">
        <v>39</v>
      </c>
      <c r="F835" t="s">
        <v>28</v>
      </c>
      <c r="G835" t="s">
        <v>22</v>
      </c>
      <c r="H835" t="s">
        <v>23</v>
      </c>
      <c r="I835">
        <v>4</v>
      </c>
      <c r="J835">
        <v>2.09</v>
      </c>
      <c r="K835">
        <v>8.36</v>
      </c>
    </row>
    <row r="836" spans="1:11" x14ac:dyDescent="0.3">
      <c r="A836">
        <v>1835</v>
      </c>
      <c r="B836" s="3" t="s">
        <v>160</v>
      </c>
      <c r="C836" s="1" t="s">
        <v>342</v>
      </c>
      <c r="D836" t="s">
        <v>33</v>
      </c>
      <c r="E836" t="s">
        <v>20</v>
      </c>
      <c r="F836" t="s">
        <v>15</v>
      </c>
      <c r="G836" t="s">
        <v>29</v>
      </c>
      <c r="H836" t="s">
        <v>30</v>
      </c>
      <c r="I836">
        <v>4</v>
      </c>
      <c r="J836">
        <v>4.96</v>
      </c>
      <c r="K836">
        <v>19.84</v>
      </c>
    </row>
    <row r="837" spans="1:11" x14ac:dyDescent="0.3">
      <c r="A837">
        <v>1836</v>
      </c>
      <c r="B837" s="3" t="s">
        <v>505</v>
      </c>
      <c r="C837" s="1" t="s">
        <v>705</v>
      </c>
      <c r="D837" t="s">
        <v>42</v>
      </c>
      <c r="E837" t="s">
        <v>39</v>
      </c>
      <c r="F837" t="s">
        <v>21</v>
      </c>
      <c r="G837" t="s">
        <v>16</v>
      </c>
      <c r="H837" t="s">
        <v>35</v>
      </c>
      <c r="I837">
        <v>5</v>
      </c>
      <c r="J837">
        <v>2.4</v>
      </c>
      <c r="K837">
        <v>12</v>
      </c>
    </row>
    <row r="838" spans="1:11" x14ac:dyDescent="0.3">
      <c r="A838">
        <v>1837</v>
      </c>
      <c r="B838" s="3" t="s">
        <v>53</v>
      </c>
      <c r="C838" s="1" t="s">
        <v>736</v>
      </c>
      <c r="D838" t="s">
        <v>38</v>
      </c>
      <c r="E838" t="s">
        <v>14</v>
      </c>
      <c r="F838" t="s">
        <v>21</v>
      </c>
      <c r="G838" t="s">
        <v>16</v>
      </c>
      <c r="H838" t="s">
        <v>76</v>
      </c>
      <c r="I838">
        <v>5</v>
      </c>
      <c r="J838">
        <v>3.41</v>
      </c>
      <c r="K838">
        <v>17.05</v>
      </c>
    </row>
    <row r="839" spans="1:11" x14ac:dyDescent="0.3">
      <c r="A839">
        <v>1838</v>
      </c>
      <c r="B839" s="3" t="s">
        <v>469</v>
      </c>
      <c r="C839" s="1" t="s">
        <v>117</v>
      </c>
      <c r="D839" t="s">
        <v>33</v>
      </c>
      <c r="E839" t="s">
        <v>79</v>
      </c>
      <c r="F839" t="s">
        <v>21</v>
      </c>
      <c r="G839" t="s">
        <v>16</v>
      </c>
      <c r="H839" t="s">
        <v>76</v>
      </c>
      <c r="I839">
        <v>5</v>
      </c>
      <c r="J839">
        <v>2.27</v>
      </c>
      <c r="K839">
        <v>11.35</v>
      </c>
    </row>
    <row r="840" spans="1:11" x14ac:dyDescent="0.3">
      <c r="A840">
        <v>1839</v>
      </c>
      <c r="B840" s="3" t="s">
        <v>178</v>
      </c>
      <c r="C840" s="1" t="s">
        <v>737</v>
      </c>
      <c r="D840" t="s">
        <v>26</v>
      </c>
      <c r="E840" t="s">
        <v>51</v>
      </c>
      <c r="F840" t="s">
        <v>28</v>
      </c>
      <c r="G840" t="s">
        <v>22</v>
      </c>
      <c r="H840" t="s">
        <v>23</v>
      </c>
      <c r="I840">
        <v>2</v>
      </c>
      <c r="J840">
        <v>2.56</v>
      </c>
      <c r="K840">
        <v>5.12</v>
      </c>
    </row>
    <row r="841" spans="1:11" x14ac:dyDescent="0.3">
      <c r="A841">
        <v>1840</v>
      </c>
      <c r="B841" s="3" t="s">
        <v>128</v>
      </c>
      <c r="C841" s="1" t="s">
        <v>738</v>
      </c>
      <c r="D841" t="s">
        <v>13</v>
      </c>
      <c r="E841" t="s">
        <v>34</v>
      </c>
      <c r="F841" t="s">
        <v>15</v>
      </c>
      <c r="G841" t="s">
        <v>70</v>
      </c>
      <c r="H841" t="s">
        <v>71</v>
      </c>
      <c r="I841">
        <v>4</v>
      </c>
      <c r="J841">
        <v>2.65</v>
      </c>
      <c r="K841">
        <v>10.6</v>
      </c>
    </row>
    <row r="842" spans="1:11" x14ac:dyDescent="0.3">
      <c r="A842">
        <v>1841</v>
      </c>
      <c r="B842" s="3" t="s">
        <v>215</v>
      </c>
      <c r="C842" s="1" t="s">
        <v>275</v>
      </c>
      <c r="D842" t="s">
        <v>38</v>
      </c>
      <c r="E842" t="s">
        <v>20</v>
      </c>
      <c r="F842" t="s">
        <v>28</v>
      </c>
      <c r="G842" t="s">
        <v>29</v>
      </c>
      <c r="H842" t="s">
        <v>57</v>
      </c>
      <c r="I842">
        <v>3</v>
      </c>
      <c r="J842">
        <v>4.49</v>
      </c>
      <c r="K842">
        <v>13.47</v>
      </c>
    </row>
    <row r="843" spans="1:11" x14ac:dyDescent="0.3">
      <c r="A843">
        <v>1842</v>
      </c>
      <c r="B843" s="3" t="s">
        <v>153</v>
      </c>
      <c r="C843" s="1" t="s">
        <v>739</v>
      </c>
      <c r="D843" t="s">
        <v>13</v>
      </c>
      <c r="E843" t="s">
        <v>14</v>
      </c>
      <c r="F843" t="s">
        <v>21</v>
      </c>
      <c r="G843" t="s">
        <v>22</v>
      </c>
      <c r="H843" t="s">
        <v>23</v>
      </c>
      <c r="I843">
        <v>3</v>
      </c>
      <c r="J843">
        <v>2.72</v>
      </c>
      <c r="K843">
        <v>8.16</v>
      </c>
    </row>
    <row r="844" spans="1:11" x14ac:dyDescent="0.3">
      <c r="A844">
        <v>1843</v>
      </c>
      <c r="B844" s="3" t="s">
        <v>464</v>
      </c>
      <c r="C844" s="1" t="s">
        <v>56</v>
      </c>
      <c r="D844" t="s">
        <v>48</v>
      </c>
      <c r="E844" t="s">
        <v>14</v>
      </c>
      <c r="F844" t="s">
        <v>28</v>
      </c>
      <c r="G844" t="s">
        <v>29</v>
      </c>
      <c r="H844" t="s">
        <v>30</v>
      </c>
      <c r="I844">
        <v>5</v>
      </c>
      <c r="J844">
        <v>2.4</v>
      </c>
      <c r="K844">
        <v>12</v>
      </c>
    </row>
    <row r="845" spans="1:11" x14ac:dyDescent="0.3">
      <c r="A845">
        <v>1844</v>
      </c>
      <c r="B845" s="3" t="s">
        <v>130</v>
      </c>
      <c r="C845" s="1" t="s">
        <v>740</v>
      </c>
      <c r="D845" t="s">
        <v>26</v>
      </c>
      <c r="E845" t="s">
        <v>20</v>
      </c>
      <c r="F845" t="s">
        <v>15</v>
      </c>
      <c r="G845" t="s">
        <v>22</v>
      </c>
      <c r="H845" t="s">
        <v>23</v>
      </c>
      <c r="I845">
        <v>4</v>
      </c>
      <c r="J845">
        <v>2.77</v>
      </c>
      <c r="K845">
        <v>11.08</v>
      </c>
    </row>
    <row r="846" spans="1:11" x14ac:dyDescent="0.3">
      <c r="A846">
        <v>1845</v>
      </c>
      <c r="B846" s="3" t="s">
        <v>346</v>
      </c>
      <c r="C846" s="1" t="s">
        <v>513</v>
      </c>
      <c r="D846" t="s">
        <v>48</v>
      </c>
      <c r="E846" t="s">
        <v>51</v>
      </c>
      <c r="F846" t="s">
        <v>21</v>
      </c>
      <c r="G846" t="s">
        <v>70</v>
      </c>
      <c r="H846" t="s">
        <v>90</v>
      </c>
      <c r="I846">
        <v>3</v>
      </c>
      <c r="J846">
        <v>2.14</v>
      </c>
      <c r="K846">
        <v>6.42</v>
      </c>
    </row>
    <row r="847" spans="1:11" x14ac:dyDescent="0.3">
      <c r="A847">
        <v>1846</v>
      </c>
      <c r="B847" s="3" t="s">
        <v>93</v>
      </c>
      <c r="C847" s="1" t="s">
        <v>741</v>
      </c>
      <c r="D847" t="s">
        <v>13</v>
      </c>
      <c r="E847" t="s">
        <v>39</v>
      </c>
      <c r="F847" t="s">
        <v>28</v>
      </c>
      <c r="G847" t="s">
        <v>70</v>
      </c>
      <c r="H847" t="s">
        <v>95</v>
      </c>
      <c r="I847">
        <v>4</v>
      </c>
      <c r="J847">
        <v>4.67</v>
      </c>
      <c r="K847">
        <v>18.68</v>
      </c>
    </row>
    <row r="848" spans="1:11" x14ac:dyDescent="0.3">
      <c r="A848">
        <v>1847</v>
      </c>
      <c r="B848" s="3" t="s">
        <v>300</v>
      </c>
      <c r="C848" s="1" t="s">
        <v>466</v>
      </c>
      <c r="D848" t="s">
        <v>13</v>
      </c>
      <c r="E848" t="s">
        <v>79</v>
      </c>
      <c r="F848" t="s">
        <v>28</v>
      </c>
      <c r="G848" t="s">
        <v>22</v>
      </c>
      <c r="H848" t="s">
        <v>23</v>
      </c>
      <c r="I848">
        <v>5</v>
      </c>
      <c r="J848">
        <v>2.93</v>
      </c>
      <c r="K848">
        <v>14.65</v>
      </c>
    </row>
    <row r="849" spans="1:11" x14ac:dyDescent="0.3">
      <c r="A849">
        <v>1848</v>
      </c>
      <c r="B849" s="3" t="s">
        <v>218</v>
      </c>
      <c r="C849" s="1" t="s">
        <v>742</v>
      </c>
      <c r="D849" t="s">
        <v>38</v>
      </c>
      <c r="E849" t="s">
        <v>20</v>
      </c>
      <c r="F849" t="s">
        <v>28</v>
      </c>
      <c r="G849" t="s">
        <v>29</v>
      </c>
      <c r="H849" t="s">
        <v>43</v>
      </c>
      <c r="I849">
        <v>4</v>
      </c>
      <c r="J849">
        <v>3.75</v>
      </c>
      <c r="K849">
        <v>15</v>
      </c>
    </row>
    <row r="850" spans="1:11" x14ac:dyDescent="0.3">
      <c r="A850">
        <v>1849</v>
      </c>
      <c r="B850" s="3" t="s">
        <v>619</v>
      </c>
      <c r="C850" s="1" t="s">
        <v>743</v>
      </c>
      <c r="D850" t="s">
        <v>38</v>
      </c>
      <c r="E850" t="s">
        <v>34</v>
      </c>
      <c r="F850" t="s">
        <v>28</v>
      </c>
      <c r="G850" t="s">
        <v>16</v>
      </c>
      <c r="H850" t="s">
        <v>35</v>
      </c>
      <c r="I850">
        <v>5</v>
      </c>
      <c r="J850">
        <v>3.67</v>
      </c>
      <c r="K850">
        <v>18.350000000000001</v>
      </c>
    </row>
    <row r="851" spans="1:11" x14ac:dyDescent="0.3">
      <c r="A851">
        <v>1850</v>
      </c>
      <c r="B851" s="3" t="s">
        <v>96</v>
      </c>
      <c r="C851" s="1" t="s">
        <v>402</v>
      </c>
      <c r="D851" t="s">
        <v>26</v>
      </c>
      <c r="E851" t="s">
        <v>79</v>
      </c>
      <c r="F851" t="s">
        <v>28</v>
      </c>
      <c r="G851" t="s">
        <v>29</v>
      </c>
      <c r="H851" t="s">
        <v>52</v>
      </c>
      <c r="I851">
        <v>4</v>
      </c>
      <c r="J851">
        <v>5.2</v>
      </c>
      <c r="K851">
        <v>20.8</v>
      </c>
    </row>
    <row r="852" spans="1:11" x14ac:dyDescent="0.3">
      <c r="A852">
        <v>1851</v>
      </c>
      <c r="B852" s="3" t="s">
        <v>77</v>
      </c>
      <c r="C852" s="1" t="s">
        <v>575</v>
      </c>
      <c r="D852" t="s">
        <v>38</v>
      </c>
      <c r="E852" t="s">
        <v>79</v>
      </c>
      <c r="F852" t="s">
        <v>28</v>
      </c>
      <c r="G852" t="s">
        <v>22</v>
      </c>
      <c r="H852" t="s">
        <v>23</v>
      </c>
      <c r="I852">
        <v>5</v>
      </c>
      <c r="J852">
        <v>4.4400000000000004</v>
      </c>
      <c r="K852">
        <v>22.2</v>
      </c>
    </row>
    <row r="853" spans="1:11" x14ac:dyDescent="0.3">
      <c r="A853">
        <v>1852</v>
      </c>
      <c r="B853" s="3" t="s">
        <v>135</v>
      </c>
      <c r="C853" s="1" t="s">
        <v>614</v>
      </c>
      <c r="D853" t="s">
        <v>26</v>
      </c>
      <c r="E853" t="s">
        <v>79</v>
      </c>
      <c r="F853" t="s">
        <v>15</v>
      </c>
      <c r="G853" t="s">
        <v>16</v>
      </c>
      <c r="H853" t="s">
        <v>35</v>
      </c>
      <c r="I853">
        <v>1</v>
      </c>
      <c r="J853">
        <v>4.9400000000000004</v>
      </c>
      <c r="K853">
        <v>4.9400000000000004</v>
      </c>
    </row>
    <row r="854" spans="1:11" x14ac:dyDescent="0.3">
      <c r="A854">
        <v>1853</v>
      </c>
      <c r="B854" s="3" t="s">
        <v>80</v>
      </c>
      <c r="C854" s="1" t="s">
        <v>311</v>
      </c>
      <c r="D854" t="s">
        <v>42</v>
      </c>
      <c r="E854" t="s">
        <v>34</v>
      </c>
      <c r="F854" t="s">
        <v>21</v>
      </c>
      <c r="G854" t="s">
        <v>70</v>
      </c>
      <c r="H854" t="s">
        <v>95</v>
      </c>
      <c r="I854">
        <v>5</v>
      </c>
      <c r="J854">
        <v>2.8</v>
      </c>
      <c r="K854">
        <v>14</v>
      </c>
    </row>
    <row r="855" spans="1:11" x14ac:dyDescent="0.3">
      <c r="A855">
        <v>1854</v>
      </c>
      <c r="B855" s="3" t="s">
        <v>224</v>
      </c>
      <c r="C855" s="1" t="s">
        <v>154</v>
      </c>
      <c r="D855" t="s">
        <v>33</v>
      </c>
      <c r="E855" t="s">
        <v>14</v>
      </c>
      <c r="F855" t="s">
        <v>28</v>
      </c>
      <c r="G855" t="s">
        <v>22</v>
      </c>
      <c r="H855" t="s">
        <v>23</v>
      </c>
      <c r="I855">
        <v>5</v>
      </c>
      <c r="J855">
        <v>2.6</v>
      </c>
      <c r="K855">
        <v>13</v>
      </c>
    </row>
    <row r="856" spans="1:11" x14ac:dyDescent="0.3">
      <c r="A856">
        <v>1855</v>
      </c>
      <c r="B856" s="3" t="s">
        <v>687</v>
      </c>
      <c r="C856" s="1" t="s">
        <v>176</v>
      </c>
      <c r="D856" t="s">
        <v>48</v>
      </c>
      <c r="E856" t="s">
        <v>79</v>
      </c>
      <c r="F856" t="s">
        <v>15</v>
      </c>
      <c r="G856" t="s">
        <v>29</v>
      </c>
      <c r="H856" t="s">
        <v>43</v>
      </c>
      <c r="I856">
        <v>1</v>
      </c>
      <c r="J856">
        <v>4.1100000000000003</v>
      </c>
      <c r="K856">
        <v>4.1100000000000003</v>
      </c>
    </row>
    <row r="857" spans="1:11" x14ac:dyDescent="0.3">
      <c r="A857">
        <v>1856</v>
      </c>
      <c r="B857" s="3" t="s">
        <v>340</v>
      </c>
      <c r="C857" s="1" t="s">
        <v>523</v>
      </c>
      <c r="D857" t="s">
        <v>26</v>
      </c>
      <c r="E857" t="s">
        <v>39</v>
      </c>
      <c r="F857" t="s">
        <v>21</v>
      </c>
      <c r="G857" t="s">
        <v>70</v>
      </c>
      <c r="H857" t="s">
        <v>71</v>
      </c>
      <c r="I857">
        <v>4</v>
      </c>
      <c r="J857">
        <v>4.0599999999999996</v>
      </c>
      <c r="K857">
        <v>16.239999999999998</v>
      </c>
    </row>
    <row r="858" spans="1:11" x14ac:dyDescent="0.3">
      <c r="A858">
        <v>1857</v>
      </c>
      <c r="B858" s="3" t="s">
        <v>110</v>
      </c>
      <c r="C858" s="1" t="s">
        <v>207</v>
      </c>
      <c r="D858" t="s">
        <v>26</v>
      </c>
      <c r="E858" t="s">
        <v>51</v>
      </c>
      <c r="F858" t="s">
        <v>15</v>
      </c>
      <c r="G858" t="s">
        <v>70</v>
      </c>
      <c r="H858" t="s">
        <v>90</v>
      </c>
      <c r="I858">
        <v>2</v>
      </c>
      <c r="J858">
        <v>4.17</v>
      </c>
      <c r="K858">
        <v>8.34</v>
      </c>
    </row>
    <row r="859" spans="1:11" x14ac:dyDescent="0.3">
      <c r="A859">
        <v>1858</v>
      </c>
      <c r="B859" s="3" t="s">
        <v>619</v>
      </c>
      <c r="C859" s="1" t="s">
        <v>708</v>
      </c>
      <c r="D859" t="s">
        <v>38</v>
      </c>
      <c r="E859" t="s">
        <v>34</v>
      </c>
      <c r="F859" t="s">
        <v>15</v>
      </c>
      <c r="G859" t="s">
        <v>70</v>
      </c>
      <c r="H859" t="s">
        <v>71</v>
      </c>
      <c r="I859">
        <v>4</v>
      </c>
      <c r="J859">
        <v>2.19</v>
      </c>
      <c r="K859">
        <v>8.76</v>
      </c>
    </row>
    <row r="860" spans="1:11" x14ac:dyDescent="0.3">
      <c r="A860">
        <v>1859</v>
      </c>
      <c r="B860" s="3" t="s">
        <v>211</v>
      </c>
      <c r="C860" s="1" t="s">
        <v>335</v>
      </c>
      <c r="D860" t="s">
        <v>42</v>
      </c>
      <c r="E860" t="s">
        <v>27</v>
      </c>
      <c r="F860" t="s">
        <v>15</v>
      </c>
      <c r="G860" t="s">
        <v>16</v>
      </c>
      <c r="H860" t="s">
        <v>76</v>
      </c>
      <c r="I860">
        <v>5</v>
      </c>
      <c r="J860">
        <v>2.5</v>
      </c>
      <c r="K860">
        <v>12.5</v>
      </c>
    </row>
    <row r="861" spans="1:11" x14ac:dyDescent="0.3">
      <c r="A861">
        <v>1860</v>
      </c>
      <c r="B861" s="3" t="s">
        <v>68</v>
      </c>
      <c r="C861" s="1" t="s">
        <v>744</v>
      </c>
      <c r="D861" t="s">
        <v>13</v>
      </c>
      <c r="E861" t="s">
        <v>27</v>
      </c>
      <c r="F861" t="s">
        <v>15</v>
      </c>
      <c r="G861" t="s">
        <v>22</v>
      </c>
      <c r="H861" t="s">
        <v>23</v>
      </c>
      <c r="I861">
        <v>1</v>
      </c>
      <c r="J861">
        <v>5.8</v>
      </c>
      <c r="K861">
        <v>5.8</v>
      </c>
    </row>
    <row r="862" spans="1:11" x14ac:dyDescent="0.3">
      <c r="A862">
        <v>1861</v>
      </c>
      <c r="B862" s="3" t="s">
        <v>480</v>
      </c>
      <c r="C862" s="1" t="s">
        <v>745</v>
      </c>
      <c r="D862" t="s">
        <v>13</v>
      </c>
      <c r="E862" t="s">
        <v>14</v>
      </c>
      <c r="F862" t="s">
        <v>15</v>
      </c>
      <c r="G862" t="s">
        <v>16</v>
      </c>
      <c r="H862" t="s">
        <v>35</v>
      </c>
      <c r="I862">
        <v>3</v>
      </c>
      <c r="J862">
        <v>4.5999999999999996</v>
      </c>
      <c r="K862">
        <v>13.8</v>
      </c>
    </row>
    <row r="863" spans="1:11" x14ac:dyDescent="0.3">
      <c r="A863">
        <v>1862</v>
      </c>
      <c r="B863" s="3" t="s">
        <v>447</v>
      </c>
      <c r="C863" s="1" t="s">
        <v>615</v>
      </c>
      <c r="D863" t="s">
        <v>38</v>
      </c>
      <c r="E863" t="s">
        <v>39</v>
      </c>
      <c r="F863" t="s">
        <v>21</v>
      </c>
      <c r="G863" t="s">
        <v>16</v>
      </c>
      <c r="H863" t="s">
        <v>76</v>
      </c>
      <c r="I863">
        <v>1</v>
      </c>
      <c r="J863">
        <v>4.3899999999999997</v>
      </c>
      <c r="K863">
        <v>4.3899999999999997</v>
      </c>
    </row>
    <row r="864" spans="1:11" x14ac:dyDescent="0.3">
      <c r="A864">
        <v>1863</v>
      </c>
      <c r="B864" s="3" t="s">
        <v>323</v>
      </c>
      <c r="C864" s="1" t="s">
        <v>746</v>
      </c>
      <c r="D864" t="s">
        <v>13</v>
      </c>
      <c r="E864" t="s">
        <v>51</v>
      </c>
      <c r="F864" t="s">
        <v>28</v>
      </c>
      <c r="G864" t="s">
        <v>22</v>
      </c>
      <c r="H864" t="s">
        <v>23</v>
      </c>
      <c r="I864">
        <v>2</v>
      </c>
      <c r="J864">
        <v>2.96</v>
      </c>
      <c r="K864">
        <v>5.92</v>
      </c>
    </row>
    <row r="865" spans="1:11" x14ac:dyDescent="0.3">
      <c r="A865">
        <v>1864</v>
      </c>
      <c r="B865" s="3" t="s">
        <v>181</v>
      </c>
      <c r="C865" s="1" t="s">
        <v>747</v>
      </c>
      <c r="D865" t="s">
        <v>26</v>
      </c>
      <c r="E865" t="s">
        <v>20</v>
      </c>
      <c r="F865" t="s">
        <v>15</v>
      </c>
      <c r="G865" t="s">
        <v>22</v>
      </c>
      <c r="H865" t="s">
        <v>23</v>
      </c>
      <c r="I865">
        <v>1</v>
      </c>
      <c r="J865">
        <v>3.02</v>
      </c>
      <c r="K865">
        <v>3.02</v>
      </c>
    </row>
    <row r="866" spans="1:11" x14ac:dyDescent="0.3">
      <c r="A866">
        <v>1865</v>
      </c>
      <c r="B866" s="3" t="s">
        <v>110</v>
      </c>
      <c r="C866" s="1" t="s">
        <v>748</v>
      </c>
      <c r="D866" t="s">
        <v>26</v>
      </c>
      <c r="E866" t="s">
        <v>51</v>
      </c>
      <c r="F866" t="s">
        <v>21</v>
      </c>
      <c r="G866" t="s">
        <v>70</v>
      </c>
      <c r="H866" t="s">
        <v>95</v>
      </c>
      <c r="I866">
        <v>4</v>
      </c>
      <c r="J866">
        <v>3.77</v>
      </c>
      <c r="K866">
        <v>15.08</v>
      </c>
    </row>
    <row r="867" spans="1:11" x14ac:dyDescent="0.3">
      <c r="A867">
        <v>1866</v>
      </c>
      <c r="B867" s="3" t="s">
        <v>256</v>
      </c>
      <c r="C867" s="1" t="s">
        <v>231</v>
      </c>
      <c r="D867" t="s">
        <v>33</v>
      </c>
      <c r="E867" t="s">
        <v>27</v>
      </c>
      <c r="F867" t="s">
        <v>28</v>
      </c>
      <c r="G867" t="s">
        <v>70</v>
      </c>
      <c r="H867" t="s">
        <v>95</v>
      </c>
      <c r="I867">
        <v>2</v>
      </c>
      <c r="J867">
        <v>5.15</v>
      </c>
      <c r="K867">
        <v>10.3</v>
      </c>
    </row>
    <row r="868" spans="1:11" x14ac:dyDescent="0.3">
      <c r="A868">
        <v>1867</v>
      </c>
      <c r="B868" s="3" t="s">
        <v>44</v>
      </c>
      <c r="C868" s="1" t="s">
        <v>749</v>
      </c>
      <c r="D868" t="s">
        <v>42</v>
      </c>
      <c r="E868" t="s">
        <v>34</v>
      </c>
      <c r="F868" t="s">
        <v>15</v>
      </c>
      <c r="G868" t="s">
        <v>16</v>
      </c>
      <c r="H868" t="s">
        <v>35</v>
      </c>
      <c r="I868">
        <v>1</v>
      </c>
      <c r="J868">
        <v>5.84</v>
      </c>
      <c r="K868">
        <v>5.84</v>
      </c>
    </row>
    <row r="869" spans="1:11" x14ac:dyDescent="0.3">
      <c r="A869">
        <v>1868</v>
      </c>
      <c r="B869" s="3" t="s">
        <v>246</v>
      </c>
      <c r="C869" s="1" t="s">
        <v>704</v>
      </c>
      <c r="D869" t="s">
        <v>33</v>
      </c>
      <c r="E869" t="s">
        <v>39</v>
      </c>
      <c r="F869" t="s">
        <v>28</v>
      </c>
      <c r="G869" t="s">
        <v>16</v>
      </c>
      <c r="H869" t="s">
        <v>76</v>
      </c>
      <c r="I869">
        <v>4</v>
      </c>
      <c r="J869">
        <v>3.72</v>
      </c>
      <c r="K869">
        <v>14.88</v>
      </c>
    </row>
    <row r="870" spans="1:11" x14ac:dyDescent="0.3">
      <c r="A870">
        <v>1869</v>
      </c>
      <c r="B870" s="3" t="s">
        <v>253</v>
      </c>
      <c r="C870" s="1" t="s">
        <v>543</v>
      </c>
      <c r="D870" t="s">
        <v>13</v>
      </c>
      <c r="E870" t="s">
        <v>79</v>
      </c>
      <c r="F870" t="s">
        <v>28</v>
      </c>
      <c r="G870" t="s">
        <v>70</v>
      </c>
      <c r="H870" t="s">
        <v>95</v>
      </c>
      <c r="I870">
        <v>3</v>
      </c>
      <c r="J870">
        <v>3.69</v>
      </c>
      <c r="K870">
        <v>11.07</v>
      </c>
    </row>
    <row r="871" spans="1:11" x14ac:dyDescent="0.3">
      <c r="A871">
        <v>1870</v>
      </c>
      <c r="B871" s="3" t="s">
        <v>384</v>
      </c>
      <c r="C871" s="1" t="s">
        <v>656</v>
      </c>
      <c r="D871" t="s">
        <v>42</v>
      </c>
      <c r="E871" t="s">
        <v>14</v>
      </c>
      <c r="F871" t="s">
        <v>28</v>
      </c>
      <c r="G871" t="s">
        <v>29</v>
      </c>
      <c r="H871" t="s">
        <v>52</v>
      </c>
      <c r="I871">
        <v>4</v>
      </c>
      <c r="J871">
        <v>4.5599999999999996</v>
      </c>
      <c r="K871">
        <v>18.239999999999998</v>
      </c>
    </row>
    <row r="872" spans="1:11" x14ac:dyDescent="0.3">
      <c r="A872">
        <v>1871</v>
      </c>
      <c r="B872" s="3" t="s">
        <v>487</v>
      </c>
      <c r="C872" s="1" t="s">
        <v>603</v>
      </c>
      <c r="D872" t="s">
        <v>26</v>
      </c>
      <c r="E872" t="s">
        <v>20</v>
      </c>
      <c r="F872" t="s">
        <v>21</v>
      </c>
      <c r="G872" t="s">
        <v>70</v>
      </c>
      <c r="H872" t="s">
        <v>95</v>
      </c>
      <c r="I872">
        <v>1</v>
      </c>
      <c r="J872">
        <v>2.74</v>
      </c>
      <c r="K872">
        <v>2.74</v>
      </c>
    </row>
    <row r="873" spans="1:11" x14ac:dyDescent="0.3">
      <c r="A873">
        <v>1872</v>
      </c>
      <c r="B873" s="3" t="s">
        <v>250</v>
      </c>
      <c r="C873" s="1" t="s">
        <v>750</v>
      </c>
      <c r="D873" t="s">
        <v>42</v>
      </c>
      <c r="E873" t="s">
        <v>20</v>
      </c>
      <c r="F873" t="s">
        <v>28</v>
      </c>
      <c r="G873" t="s">
        <v>22</v>
      </c>
      <c r="H873" t="s">
        <v>23</v>
      </c>
      <c r="I873">
        <v>4</v>
      </c>
      <c r="J873">
        <v>4.6500000000000004</v>
      </c>
      <c r="K873">
        <v>18.600000000000001</v>
      </c>
    </row>
    <row r="874" spans="1:11" x14ac:dyDescent="0.3">
      <c r="A874">
        <v>1873</v>
      </c>
      <c r="B874" s="3" t="s">
        <v>340</v>
      </c>
      <c r="C874" s="1" t="s">
        <v>61</v>
      </c>
      <c r="D874" t="s">
        <v>26</v>
      </c>
      <c r="E874" t="s">
        <v>39</v>
      </c>
      <c r="F874" t="s">
        <v>28</v>
      </c>
      <c r="G874" t="s">
        <v>70</v>
      </c>
      <c r="H874" t="s">
        <v>95</v>
      </c>
      <c r="I874">
        <v>1</v>
      </c>
      <c r="J874">
        <v>2.86</v>
      </c>
      <c r="K874">
        <v>2.86</v>
      </c>
    </row>
    <row r="875" spans="1:11" x14ac:dyDescent="0.3">
      <c r="A875">
        <v>1874</v>
      </c>
      <c r="B875" s="3" t="s">
        <v>269</v>
      </c>
      <c r="C875" s="1" t="s">
        <v>579</v>
      </c>
      <c r="D875" t="s">
        <v>26</v>
      </c>
      <c r="E875" t="s">
        <v>79</v>
      </c>
      <c r="F875" t="s">
        <v>28</v>
      </c>
      <c r="G875" t="s">
        <v>22</v>
      </c>
      <c r="H875" t="s">
        <v>23</v>
      </c>
      <c r="I875">
        <v>1</v>
      </c>
      <c r="J875">
        <v>3.49</v>
      </c>
      <c r="K875">
        <v>3.49</v>
      </c>
    </row>
    <row r="876" spans="1:11" x14ac:dyDescent="0.3">
      <c r="A876">
        <v>1875</v>
      </c>
      <c r="B876" s="3" t="s">
        <v>36</v>
      </c>
      <c r="C876" s="1" t="s">
        <v>606</v>
      </c>
      <c r="D876" t="s">
        <v>38</v>
      </c>
      <c r="E876" t="s">
        <v>39</v>
      </c>
      <c r="F876" t="s">
        <v>21</v>
      </c>
      <c r="G876" t="s">
        <v>29</v>
      </c>
      <c r="H876" t="s">
        <v>52</v>
      </c>
      <c r="I876">
        <v>2</v>
      </c>
      <c r="J876">
        <v>5.38</v>
      </c>
      <c r="K876">
        <v>10.76</v>
      </c>
    </row>
    <row r="877" spans="1:11" x14ac:dyDescent="0.3">
      <c r="A877">
        <v>1876</v>
      </c>
      <c r="B877" s="3" t="s">
        <v>100</v>
      </c>
      <c r="C877" s="1" t="s">
        <v>579</v>
      </c>
      <c r="D877" t="s">
        <v>48</v>
      </c>
      <c r="E877" t="s">
        <v>51</v>
      </c>
      <c r="F877" t="s">
        <v>21</v>
      </c>
      <c r="G877" t="s">
        <v>70</v>
      </c>
      <c r="H877" t="s">
        <v>95</v>
      </c>
      <c r="I877">
        <v>5</v>
      </c>
      <c r="J877">
        <v>3.78</v>
      </c>
      <c r="K877">
        <v>18.899999999999999</v>
      </c>
    </row>
    <row r="878" spans="1:11" x14ac:dyDescent="0.3">
      <c r="A878">
        <v>1877</v>
      </c>
      <c r="B878" s="3" t="s">
        <v>751</v>
      </c>
      <c r="C878" s="1" t="s">
        <v>386</v>
      </c>
      <c r="D878" t="s">
        <v>48</v>
      </c>
      <c r="E878" t="s">
        <v>27</v>
      </c>
      <c r="F878" t="s">
        <v>21</v>
      </c>
      <c r="G878" t="s">
        <v>70</v>
      </c>
      <c r="H878" t="s">
        <v>90</v>
      </c>
      <c r="I878">
        <v>5</v>
      </c>
      <c r="J878">
        <v>2.77</v>
      </c>
      <c r="K878">
        <v>13.85</v>
      </c>
    </row>
    <row r="879" spans="1:11" x14ac:dyDescent="0.3">
      <c r="A879">
        <v>1878</v>
      </c>
      <c r="B879" s="3" t="s">
        <v>190</v>
      </c>
      <c r="C879" s="1" t="s">
        <v>351</v>
      </c>
      <c r="D879" t="s">
        <v>38</v>
      </c>
      <c r="E879" t="s">
        <v>14</v>
      </c>
      <c r="F879" t="s">
        <v>21</v>
      </c>
      <c r="G879" t="s">
        <v>16</v>
      </c>
      <c r="H879" t="s">
        <v>76</v>
      </c>
      <c r="I879">
        <v>4</v>
      </c>
      <c r="J879">
        <v>3.33</v>
      </c>
      <c r="K879">
        <v>13.32</v>
      </c>
    </row>
    <row r="880" spans="1:11" x14ac:dyDescent="0.3">
      <c r="A880">
        <v>1879</v>
      </c>
      <c r="B880" s="3" t="s">
        <v>147</v>
      </c>
      <c r="C880" s="1" t="s">
        <v>386</v>
      </c>
      <c r="D880" t="s">
        <v>26</v>
      </c>
      <c r="E880" t="s">
        <v>34</v>
      </c>
      <c r="F880" t="s">
        <v>28</v>
      </c>
      <c r="G880" t="s">
        <v>29</v>
      </c>
      <c r="H880" t="s">
        <v>43</v>
      </c>
      <c r="I880">
        <v>4</v>
      </c>
      <c r="J880">
        <v>4.6900000000000004</v>
      </c>
      <c r="K880">
        <v>18.760000000000002</v>
      </c>
    </row>
    <row r="881" spans="1:11" x14ac:dyDescent="0.3">
      <c r="A881">
        <v>1880</v>
      </c>
      <c r="B881" s="3" t="s">
        <v>447</v>
      </c>
      <c r="C881" s="1" t="s">
        <v>752</v>
      </c>
      <c r="D881" t="s">
        <v>38</v>
      </c>
      <c r="E881" t="s">
        <v>39</v>
      </c>
      <c r="F881" t="s">
        <v>15</v>
      </c>
      <c r="G881" t="s">
        <v>22</v>
      </c>
      <c r="H881" t="s">
        <v>23</v>
      </c>
      <c r="I881">
        <v>3</v>
      </c>
      <c r="J881">
        <v>2.42</v>
      </c>
      <c r="K881">
        <v>7.26</v>
      </c>
    </row>
    <row r="882" spans="1:11" x14ac:dyDescent="0.3">
      <c r="A882">
        <v>1881</v>
      </c>
      <c r="B882" s="3" t="s">
        <v>24</v>
      </c>
      <c r="C882" s="1" t="s">
        <v>594</v>
      </c>
      <c r="D882" t="s">
        <v>26</v>
      </c>
      <c r="E882" t="s">
        <v>27</v>
      </c>
      <c r="F882" t="s">
        <v>21</v>
      </c>
      <c r="G882" t="s">
        <v>29</v>
      </c>
      <c r="H882" t="s">
        <v>30</v>
      </c>
      <c r="I882">
        <v>3</v>
      </c>
      <c r="J882">
        <v>2.86</v>
      </c>
      <c r="K882">
        <v>8.58</v>
      </c>
    </row>
    <row r="883" spans="1:11" x14ac:dyDescent="0.3">
      <c r="A883">
        <v>1882</v>
      </c>
      <c r="B883" s="3" t="s">
        <v>208</v>
      </c>
      <c r="C883" s="1" t="s">
        <v>753</v>
      </c>
      <c r="D883" t="s">
        <v>42</v>
      </c>
      <c r="E883" t="s">
        <v>34</v>
      </c>
      <c r="F883" t="s">
        <v>15</v>
      </c>
      <c r="G883" t="s">
        <v>70</v>
      </c>
      <c r="H883" t="s">
        <v>95</v>
      </c>
      <c r="I883">
        <v>2</v>
      </c>
      <c r="J883">
        <v>2.11</v>
      </c>
      <c r="K883">
        <v>4.22</v>
      </c>
    </row>
    <row r="884" spans="1:11" x14ac:dyDescent="0.3">
      <c r="A884">
        <v>1883</v>
      </c>
      <c r="B884" s="3" t="s">
        <v>264</v>
      </c>
      <c r="C884" s="1" t="s">
        <v>521</v>
      </c>
      <c r="D884" t="s">
        <v>26</v>
      </c>
      <c r="E884" t="s">
        <v>51</v>
      </c>
      <c r="F884" t="s">
        <v>21</v>
      </c>
      <c r="G884" t="s">
        <v>29</v>
      </c>
      <c r="H884" t="s">
        <v>43</v>
      </c>
      <c r="I884">
        <v>1</v>
      </c>
      <c r="J884">
        <v>5.26</v>
      </c>
      <c r="K884">
        <v>5.26</v>
      </c>
    </row>
    <row r="885" spans="1:11" x14ac:dyDescent="0.3">
      <c r="A885">
        <v>1884</v>
      </c>
      <c r="B885" s="3" t="s">
        <v>104</v>
      </c>
      <c r="C885" s="1" t="s">
        <v>654</v>
      </c>
      <c r="D885" t="s">
        <v>42</v>
      </c>
      <c r="E885" t="s">
        <v>39</v>
      </c>
      <c r="F885" t="s">
        <v>15</v>
      </c>
      <c r="G885" t="s">
        <v>16</v>
      </c>
      <c r="H885" t="s">
        <v>76</v>
      </c>
      <c r="I885">
        <v>3</v>
      </c>
      <c r="J885">
        <v>4.0599999999999996</v>
      </c>
      <c r="K885">
        <v>12.18</v>
      </c>
    </row>
    <row r="886" spans="1:11" x14ac:dyDescent="0.3">
      <c r="A886">
        <v>1885</v>
      </c>
      <c r="B886" s="3" t="s">
        <v>221</v>
      </c>
      <c r="C886" s="1" t="s">
        <v>754</v>
      </c>
      <c r="D886" t="s">
        <v>13</v>
      </c>
      <c r="E886" t="s">
        <v>34</v>
      </c>
      <c r="F886" t="s">
        <v>21</v>
      </c>
      <c r="G886" t="s">
        <v>70</v>
      </c>
      <c r="H886" t="s">
        <v>71</v>
      </c>
      <c r="I886">
        <v>5</v>
      </c>
      <c r="J886">
        <v>2.36</v>
      </c>
      <c r="K886">
        <v>11.8</v>
      </c>
    </row>
    <row r="887" spans="1:11" x14ac:dyDescent="0.3">
      <c r="A887">
        <v>1886</v>
      </c>
      <c r="B887" s="3" t="s">
        <v>44</v>
      </c>
      <c r="C887" s="1" t="s">
        <v>351</v>
      </c>
      <c r="D887" t="s">
        <v>42</v>
      </c>
      <c r="E887" t="s">
        <v>34</v>
      </c>
      <c r="F887" t="s">
        <v>15</v>
      </c>
      <c r="G887" t="s">
        <v>16</v>
      </c>
      <c r="H887" t="s">
        <v>35</v>
      </c>
      <c r="I887">
        <v>4</v>
      </c>
      <c r="J887">
        <v>2.4900000000000002</v>
      </c>
      <c r="K887">
        <v>9.9600000000000009</v>
      </c>
    </row>
    <row r="888" spans="1:11" x14ac:dyDescent="0.3">
      <c r="A888">
        <v>1887</v>
      </c>
      <c r="B888" s="3" t="s">
        <v>46</v>
      </c>
      <c r="C888" s="1" t="s">
        <v>421</v>
      </c>
      <c r="D888" t="s">
        <v>48</v>
      </c>
      <c r="E888" t="s">
        <v>27</v>
      </c>
      <c r="F888" t="s">
        <v>21</v>
      </c>
      <c r="G888" t="s">
        <v>16</v>
      </c>
      <c r="H888" t="s">
        <v>35</v>
      </c>
      <c r="I888">
        <v>5</v>
      </c>
      <c r="J888">
        <v>3.62</v>
      </c>
      <c r="K888">
        <v>18.100000000000001</v>
      </c>
    </row>
    <row r="889" spans="1:11" x14ac:dyDescent="0.3">
      <c r="A889">
        <v>1888</v>
      </c>
      <c r="B889" s="3" t="s">
        <v>36</v>
      </c>
      <c r="C889" s="1" t="s">
        <v>509</v>
      </c>
      <c r="D889" t="s">
        <v>38</v>
      </c>
      <c r="E889" t="s">
        <v>39</v>
      </c>
      <c r="F889" t="s">
        <v>15</v>
      </c>
      <c r="G889" t="s">
        <v>29</v>
      </c>
      <c r="H889" t="s">
        <v>30</v>
      </c>
      <c r="I889">
        <v>3</v>
      </c>
      <c r="J889">
        <v>2.54</v>
      </c>
      <c r="K889">
        <v>7.62</v>
      </c>
    </row>
    <row r="890" spans="1:11" x14ac:dyDescent="0.3">
      <c r="A890">
        <v>1889</v>
      </c>
      <c r="B890" s="3" t="s">
        <v>128</v>
      </c>
      <c r="C890" s="1" t="s">
        <v>594</v>
      </c>
      <c r="D890" t="s">
        <v>13</v>
      </c>
      <c r="E890" t="s">
        <v>34</v>
      </c>
      <c r="F890" t="s">
        <v>28</v>
      </c>
      <c r="G890" t="s">
        <v>16</v>
      </c>
      <c r="H890" t="s">
        <v>17</v>
      </c>
      <c r="I890">
        <v>5</v>
      </c>
      <c r="J890">
        <v>3.99</v>
      </c>
      <c r="K890">
        <v>19.95</v>
      </c>
    </row>
    <row r="891" spans="1:11" x14ac:dyDescent="0.3">
      <c r="A891">
        <v>1890</v>
      </c>
      <c r="B891" s="3" t="s">
        <v>60</v>
      </c>
      <c r="C891" s="1" t="s">
        <v>611</v>
      </c>
      <c r="D891" t="s">
        <v>33</v>
      </c>
      <c r="E891" t="s">
        <v>39</v>
      </c>
      <c r="F891" t="s">
        <v>21</v>
      </c>
      <c r="G891" t="s">
        <v>22</v>
      </c>
      <c r="H891" t="s">
        <v>23</v>
      </c>
      <c r="I891">
        <v>4</v>
      </c>
      <c r="J891">
        <v>3.37</v>
      </c>
      <c r="K891">
        <v>13.48</v>
      </c>
    </row>
    <row r="892" spans="1:11" x14ac:dyDescent="0.3">
      <c r="A892">
        <v>1891</v>
      </c>
      <c r="B892" s="3" t="s">
        <v>106</v>
      </c>
      <c r="C892" s="1" t="s">
        <v>177</v>
      </c>
      <c r="D892" t="s">
        <v>26</v>
      </c>
      <c r="E892" t="s">
        <v>39</v>
      </c>
      <c r="F892" t="s">
        <v>21</v>
      </c>
      <c r="G892" t="s">
        <v>70</v>
      </c>
      <c r="H892" t="s">
        <v>71</v>
      </c>
      <c r="I892">
        <v>4</v>
      </c>
      <c r="J892">
        <v>3.89</v>
      </c>
      <c r="K892">
        <v>15.56</v>
      </c>
    </row>
    <row r="893" spans="1:11" x14ac:dyDescent="0.3">
      <c r="A893">
        <v>1892</v>
      </c>
      <c r="B893" s="3" t="s">
        <v>68</v>
      </c>
      <c r="C893" s="1" t="s">
        <v>553</v>
      </c>
      <c r="D893" t="s">
        <v>13</v>
      </c>
      <c r="E893" t="s">
        <v>27</v>
      </c>
      <c r="F893" t="s">
        <v>28</v>
      </c>
      <c r="G893" t="s">
        <v>70</v>
      </c>
      <c r="H893" t="s">
        <v>90</v>
      </c>
      <c r="I893">
        <v>2</v>
      </c>
      <c r="J893">
        <v>5.63</v>
      </c>
      <c r="K893">
        <v>11.26</v>
      </c>
    </row>
    <row r="894" spans="1:11" x14ac:dyDescent="0.3">
      <c r="A894">
        <v>1893</v>
      </c>
      <c r="B894" s="3" t="s">
        <v>248</v>
      </c>
      <c r="C894" s="1" t="s">
        <v>755</v>
      </c>
      <c r="D894" t="s">
        <v>48</v>
      </c>
      <c r="E894" t="s">
        <v>79</v>
      </c>
      <c r="F894" t="s">
        <v>15</v>
      </c>
      <c r="G894" t="s">
        <v>22</v>
      </c>
      <c r="H894" t="s">
        <v>23</v>
      </c>
      <c r="I894">
        <v>4</v>
      </c>
      <c r="J894">
        <v>4.2699999999999996</v>
      </c>
      <c r="K894">
        <v>17.079999999999998</v>
      </c>
    </row>
    <row r="895" spans="1:11" x14ac:dyDescent="0.3">
      <c r="A895">
        <v>1894</v>
      </c>
      <c r="B895" s="3" t="s">
        <v>185</v>
      </c>
      <c r="C895" s="1" t="s">
        <v>594</v>
      </c>
      <c r="D895" t="s">
        <v>13</v>
      </c>
      <c r="E895" t="s">
        <v>39</v>
      </c>
      <c r="F895" t="s">
        <v>28</v>
      </c>
      <c r="G895" t="s">
        <v>29</v>
      </c>
      <c r="H895" t="s">
        <v>57</v>
      </c>
      <c r="I895">
        <v>2</v>
      </c>
      <c r="J895">
        <v>4.8099999999999996</v>
      </c>
      <c r="K895">
        <v>9.6199999999999992</v>
      </c>
    </row>
    <row r="896" spans="1:11" x14ac:dyDescent="0.3">
      <c r="A896">
        <v>1895</v>
      </c>
      <c r="B896" s="3" t="s">
        <v>53</v>
      </c>
      <c r="C896" s="1" t="s">
        <v>59</v>
      </c>
      <c r="D896" t="s">
        <v>38</v>
      </c>
      <c r="E896" t="s">
        <v>14</v>
      </c>
      <c r="F896" t="s">
        <v>28</v>
      </c>
      <c r="G896" t="s">
        <v>22</v>
      </c>
      <c r="H896" t="s">
        <v>23</v>
      </c>
      <c r="I896">
        <v>1</v>
      </c>
      <c r="J896">
        <v>2.12</v>
      </c>
      <c r="K896">
        <v>2.12</v>
      </c>
    </row>
    <row r="897" spans="1:11" x14ac:dyDescent="0.3">
      <c r="A897">
        <v>1896</v>
      </c>
      <c r="B897" s="3" t="s">
        <v>96</v>
      </c>
      <c r="C897" s="1" t="s">
        <v>406</v>
      </c>
      <c r="D897" t="s">
        <v>26</v>
      </c>
      <c r="E897" t="s">
        <v>79</v>
      </c>
      <c r="F897" t="s">
        <v>15</v>
      </c>
      <c r="G897" t="s">
        <v>16</v>
      </c>
      <c r="H897" t="s">
        <v>35</v>
      </c>
      <c r="I897">
        <v>4</v>
      </c>
      <c r="J897">
        <v>4.09</v>
      </c>
      <c r="K897">
        <v>16.36</v>
      </c>
    </row>
    <row r="898" spans="1:11" x14ac:dyDescent="0.3">
      <c r="A898">
        <v>1897</v>
      </c>
      <c r="B898" s="3" t="s">
        <v>58</v>
      </c>
      <c r="C898" s="1" t="s">
        <v>438</v>
      </c>
      <c r="D898" t="s">
        <v>42</v>
      </c>
      <c r="E898" t="s">
        <v>14</v>
      </c>
      <c r="F898" t="s">
        <v>15</v>
      </c>
      <c r="G898" t="s">
        <v>29</v>
      </c>
      <c r="H898" t="s">
        <v>30</v>
      </c>
      <c r="I898">
        <v>1</v>
      </c>
      <c r="J898">
        <v>2.5499999999999998</v>
      </c>
      <c r="K898">
        <v>2.5499999999999998</v>
      </c>
    </row>
    <row r="899" spans="1:11" x14ac:dyDescent="0.3">
      <c r="A899">
        <v>1898</v>
      </c>
      <c r="B899" s="3" t="s">
        <v>502</v>
      </c>
      <c r="C899" s="1" t="s">
        <v>601</v>
      </c>
      <c r="D899" t="s">
        <v>26</v>
      </c>
      <c r="E899" t="s">
        <v>51</v>
      </c>
      <c r="F899" t="s">
        <v>21</v>
      </c>
      <c r="G899" t="s">
        <v>70</v>
      </c>
      <c r="H899" t="s">
        <v>71</v>
      </c>
      <c r="I899">
        <v>2</v>
      </c>
      <c r="J899">
        <v>2.75</v>
      </c>
      <c r="K899">
        <v>5.5</v>
      </c>
    </row>
    <row r="900" spans="1:11" x14ac:dyDescent="0.3">
      <c r="A900">
        <v>1899</v>
      </c>
      <c r="B900" s="3" t="s">
        <v>262</v>
      </c>
      <c r="C900" s="1" t="s">
        <v>756</v>
      </c>
      <c r="D900" t="s">
        <v>33</v>
      </c>
      <c r="E900" t="s">
        <v>39</v>
      </c>
      <c r="F900" t="s">
        <v>15</v>
      </c>
      <c r="G900" t="s">
        <v>22</v>
      </c>
      <c r="H900" t="s">
        <v>23</v>
      </c>
      <c r="I900">
        <v>5</v>
      </c>
      <c r="J900">
        <v>5.64</v>
      </c>
      <c r="K900">
        <v>28.2</v>
      </c>
    </row>
    <row r="901" spans="1:11" x14ac:dyDescent="0.3">
      <c r="A901">
        <v>1900</v>
      </c>
      <c r="B901" s="3" t="s">
        <v>166</v>
      </c>
      <c r="C901" s="1" t="s">
        <v>743</v>
      </c>
      <c r="D901" t="s">
        <v>48</v>
      </c>
      <c r="E901" t="s">
        <v>79</v>
      </c>
      <c r="F901" t="s">
        <v>28</v>
      </c>
      <c r="G901" t="s">
        <v>16</v>
      </c>
      <c r="H901" t="s">
        <v>35</v>
      </c>
      <c r="I901">
        <v>2</v>
      </c>
      <c r="J901">
        <v>4.08</v>
      </c>
      <c r="K901">
        <v>8.16</v>
      </c>
    </row>
    <row r="902" spans="1:11" x14ac:dyDescent="0.3">
      <c r="A902">
        <v>1901</v>
      </c>
      <c r="B902" s="3" t="s">
        <v>84</v>
      </c>
      <c r="C902" s="1" t="s">
        <v>757</v>
      </c>
      <c r="D902" t="s">
        <v>26</v>
      </c>
      <c r="E902" t="s">
        <v>79</v>
      </c>
      <c r="F902" t="s">
        <v>21</v>
      </c>
      <c r="G902" t="s">
        <v>16</v>
      </c>
      <c r="H902" t="s">
        <v>76</v>
      </c>
      <c r="I902">
        <v>4</v>
      </c>
      <c r="J902">
        <v>4.07</v>
      </c>
      <c r="K902">
        <v>16.28</v>
      </c>
    </row>
    <row r="903" spans="1:11" x14ac:dyDescent="0.3">
      <c r="A903">
        <v>1902</v>
      </c>
      <c r="B903" s="3" t="s">
        <v>240</v>
      </c>
      <c r="C903" s="1" t="s">
        <v>391</v>
      </c>
      <c r="D903" t="s">
        <v>48</v>
      </c>
      <c r="E903" t="s">
        <v>20</v>
      </c>
      <c r="F903" t="s">
        <v>21</v>
      </c>
      <c r="G903" t="s">
        <v>16</v>
      </c>
      <c r="H903" t="s">
        <v>17</v>
      </c>
      <c r="I903">
        <v>5</v>
      </c>
      <c r="J903">
        <v>5.42</v>
      </c>
      <c r="K903">
        <v>27.1</v>
      </c>
    </row>
    <row r="904" spans="1:11" x14ac:dyDescent="0.3">
      <c r="A904">
        <v>1903</v>
      </c>
      <c r="B904" s="3" t="s">
        <v>162</v>
      </c>
      <c r="C904" s="1" t="s">
        <v>226</v>
      </c>
      <c r="D904" t="s">
        <v>33</v>
      </c>
      <c r="E904" t="s">
        <v>34</v>
      </c>
      <c r="F904" t="s">
        <v>28</v>
      </c>
      <c r="G904" t="s">
        <v>16</v>
      </c>
      <c r="H904" t="s">
        <v>17</v>
      </c>
      <c r="I904">
        <v>3</v>
      </c>
      <c r="J904">
        <v>4.26</v>
      </c>
      <c r="K904">
        <v>12.78</v>
      </c>
    </row>
    <row r="905" spans="1:11" x14ac:dyDescent="0.3">
      <c r="A905">
        <v>1904</v>
      </c>
      <c r="B905" s="3" t="s">
        <v>166</v>
      </c>
      <c r="C905" s="1" t="s">
        <v>746</v>
      </c>
      <c r="D905" t="s">
        <v>48</v>
      </c>
      <c r="E905" t="s">
        <v>79</v>
      </c>
      <c r="F905" t="s">
        <v>28</v>
      </c>
      <c r="G905" t="s">
        <v>22</v>
      </c>
      <c r="H905" t="s">
        <v>23</v>
      </c>
      <c r="I905">
        <v>4</v>
      </c>
      <c r="J905">
        <v>3.72</v>
      </c>
      <c r="K905">
        <v>14.88</v>
      </c>
    </row>
    <row r="906" spans="1:11" x14ac:dyDescent="0.3">
      <c r="A906">
        <v>1905</v>
      </c>
      <c r="B906" s="3" t="s">
        <v>197</v>
      </c>
      <c r="C906" s="1" t="s">
        <v>701</v>
      </c>
      <c r="D906" t="s">
        <v>33</v>
      </c>
      <c r="E906" t="s">
        <v>79</v>
      </c>
      <c r="F906" t="s">
        <v>28</v>
      </c>
      <c r="G906" t="s">
        <v>29</v>
      </c>
      <c r="H906" t="s">
        <v>30</v>
      </c>
      <c r="I906">
        <v>4</v>
      </c>
      <c r="J906">
        <v>3.78</v>
      </c>
      <c r="K906">
        <v>15.12</v>
      </c>
    </row>
    <row r="907" spans="1:11" x14ac:dyDescent="0.3">
      <c r="A907">
        <v>1906</v>
      </c>
      <c r="B907" s="3" t="s">
        <v>210</v>
      </c>
      <c r="C907" s="1" t="s">
        <v>223</v>
      </c>
      <c r="D907" t="s">
        <v>38</v>
      </c>
      <c r="E907" t="s">
        <v>34</v>
      </c>
      <c r="F907" t="s">
        <v>15</v>
      </c>
      <c r="G907" t="s">
        <v>16</v>
      </c>
      <c r="H907" t="s">
        <v>35</v>
      </c>
      <c r="I907">
        <v>3</v>
      </c>
      <c r="J907">
        <v>3.49</v>
      </c>
      <c r="K907">
        <v>10.47</v>
      </c>
    </row>
    <row r="908" spans="1:11" x14ac:dyDescent="0.3">
      <c r="A908">
        <v>1907</v>
      </c>
      <c r="B908" s="3" t="s">
        <v>687</v>
      </c>
      <c r="C908" s="1" t="s">
        <v>99</v>
      </c>
      <c r="D908" t="s">
        <v>48</v>
      </c>
      <c r="E908" t="s">
        <v>79</v>
      </c>
      <c r="F908" t="s">
        <v>15</v>
      </c>
      <c r="G908" t="s">
        <v>16</v>
      </c>
      <c r="H908" t="s">
        <v>17</v>
      </c>
      <c r="I908">
        <v>1</v>
      </c>
      <c r="J908">
        <v>4.08</v>
      </c>
      <c r="K908">
        <v>4.08</v>
      </c>
    </row>
    <row r="909" spans="1:11" x14ac:dyDescent="0.3">
      <c r="A909">
        <v>1908</v>
      </c>
      <c r="B909" s="3" t="s">
        <v>348</v>
      </c>
      <c r="C909" s="1" t="s">
        <v>73</v>
      </c>
      <c r="D909" t="s">
        <v>13</v>
      </c>
      <c r="E909" t="s">
        <v>14</v>
      </c>
      <c r="F909" t="s">
        <v>21</v>
      </c>
      <c r="G909" t="s">
        <v>29</v>
      </c>
      <c r="H909" t="s">
        <v>30</v>
      </c>
      <c r="I909">
        <v>1</v>
      </c>
      <c r="J909">
        <v>4.97</v>
      </c>
      <c r="K909">
        <v>4.97</v>
      </c>
    </row>
    <row r="910" spans="1:11" x14ac:dyDescent="0.3">
      <c r="A910">
        <v>1909</v>
      </c>
      <c r="B910" s="3" t="s">
        <v>469</v>
      </c>
      <c r="C910" s="1" t="s">
        <v>629</v>
      </c>
      <c r="D910" t="s">
        <v>33</v>
      </c>
      <c r="E910" t="s">
        <v>79</v>
      </c>
      <c r="F910" t="s">
        <v>21</v>
      </c>
      <c r="G910" t="s">
        <v>22</v>
      </c>
      <c r="H910" t="s">
        <v>23</v>
      </c>
      <c r="I910">
        <v>4</v>
      </c>
      <c r="J910">
        <v>2.57</v>
      </c>
      <c r="K910">
        <v>10.28</v>
      </c>
    </row>
    <row r="911" spans="1:11" x14ac:dyDescent="0.3">
      <c r="A911">
        <v>1910</v>
      </c>
      <c r="B911" s="3" t="s">
        <v>203</v>
      </c>
      <c r="C911" s="1" t="s">
        <v>673</v>
      </c>
      <c r="D911" t="s">
        <v>42</v>
      </c>
      <c r="E911" t="s">
        <v>51</v>
      </c>
      <c r="F911" t="s">
        <v>15</v>
      </c>
      <c r="G911" t="s">
        <v>29</v>
      </c>
      <c r="H911" t="s">
        <v>52</v>
      </c>
      <c r="I911">
        <v>3</v>
      </c>
      <c r="J911">
        <v>3.17</v>
      </c>
      <c r="K911">
        <v>9.51</v>
      </c>
    </row>
    <row r="912" spans="1:11" x14ac:dyDescent="0.3">
      <c r="A912">
        <v>1911</v>
      </c>
      <c r="B912" s="3" t="s">
        <v>328</v>
      </c>
      <c r="C912" s="1" t="s">
        <v>613</v>
      </c>
      <c r="D912" t="s">
        <v>26</v>
      </c>
      <c r="E912" t="s">
        <v>34</v>
      </c>
      <c r="F912" t="s">
        <v>15</v>
      </c>
      <c r="G912" t="s">
        <v>22</v>
      </c>
      <c r="H912" t="s">
        <v>23</v>
      </c>
      <c r="I912">
        <v>3</v>
      </c>
      <c r="J912">
        <v>2.46</v>
      </c>
      <c r="K912">
        <v>7.38</v>
      </c>
    </row>
    <row r="913" spans="1:11" x14ac:dyDescent="0.3">
      <c r="A913">
        <v>1912</v>
      </c>
      <c r="B913" s="3" t="s">
        <v>428</v>
      </c>
      <c r="C913" s="1" t="s">
        <v>622</v>
      </c>
      <c r="D913" t="s">
        <v>13</v>
      </c>
      <c r="E913" t="s">
        <v>20</v>
      </c>
      <c r="F913" t="s">
        <v>28</v>
      </c>
      <c r="G913" t="s">
        <v>70</v>
      </c>
      <c r="H913" t="s">
        <v>71</v>
      </c>
      <c r="I913">
        <v>2</v>
      </c>
      <c r="J913">
        <v>5.62</v>
      </c>
      <c r="K913">
        <v>11.24</v>
      </c>
    </row>
    <row r="914" spans="1:11" x14ac:dyDescent="0.3">
      <c r="A914">
        <v>1913</v>
      </c>
      <c r="B914" s="3" t="s">
        <v>135</v>
      </c>
      <c r="C914" s="1" t="s">
        <v>528</v>
      </c>
      <c r="D914" t="s">
        <v>26</v>
      </c>
      <c r="E914" t="s">
        <v>79</v>
      </c>
      <c r="F914" t="s">
        <v>15</v>
      </c>
      <c r="G914" t="s">
        <v>16</v>
      </c>
      <c r="H914" t="s">
        <v>76</v>
      </c>
      <c r="I914">
        <v>1</v>
      </c>
      <c r="J914">
        <v>4.87</v>
      </c>
      <c r="K914">
        <v>4.87</v>
      </c>
    </row>
    <row r="915" spans="1:11" x14ac:dyDescent="0.3">
      <c r="A915">
        <v>1914</v>
      </c>
      <c r="B915" s="3" t="s">
        <v>82</v>
      </c>
      <c r="C915" s="1" t="s">
        <v>377</v>
      </c>
      <c r="D915" t="s">
        <v>48</v>
      </c>
      <c r="E915" t="s">
        <v>20</v>
      </c>
      <c r="F915" t="s">
        <v>15</v>
      </c>
      <c r="G915" t="s">
        <v>22</v>
      </c>
      <c r="H915" t="s">
        <v>23</v>
      </c>
      <c r="I915">
        <v>1</v>
      </c>
      <c r="J915">
        <v>2.93</v>
      </c>
      <c r="K915">
        <v>2.93</v>
      </c>
    </row>
    <row r="916" spans="1:11" x14ac:dyDescent="0.3">
      <c r="A916">
        <v>1915</v>
      </c>
      <c r="B916" s="3" t="s">
        <v>190</v>
      </c>
      <c r="C916" s="1" t="s">
        <v>660</v>
      </c>
      <c r="D916" t="s">
        <v>38</v>
      </c>
      <c r="E916" t="s">
        <v>14</v>
      </c>
      <c r="F916" t="s">
        <v>21</v>
      </c>
      <c r="G916" t="s">
        <v>70</v>
      </c>
      <c r="H916" t="s">
        <v>71</v>
      </c>
      <c r="I916">
        <v>3</v>
      </c>
      <c r="J916">
        <v>3.13</v>
      </c>
      <c r="K916">
        <v>9.39</v>
      </c>
    </row>
    <row r="917" spans="1:11" x14ac:dyDescent="0.3">
      <c r="A917">
        <v>1916</v>
      </c>
      <c r="B917" s="3" t="s">
        <v>77</v>
      </c>
      <c r="C917" s="1" t="s">
        <v>758</v>
      </c>
      <c r="D917" t="s">
        <v>38</v>
      </c>
      <c r="E917" t="s">
        <v>79</v>
      </c>
      <c r="F917" t="s">
        <v>15</v>
      </c>
      <c r="G917" t="s">
        <v>29</v>
      </c>
      <c r="H917" t="s">
        <v>43</v>
      </c>
      <c r="I917">
        <v>2</v>
      </c>
      <c r="J917">
        <v>2.63</v>
      </c>
      <c r="K917">
        <v>5.26</v>
      </c>
    </row>
    <row r="918" spans="1:11" x14ac:dyDescent="0.3">
      <c r="A918">
        <v>1917</v>
      </c>
      <c r="B918" s="3" t="s">
        <v>232</v>
      </c>
      <c r="C918" s="1" t="s">
        <v>397</v>
      </c>
      <c r="D918" t="s">
        <v>42</v>
      </c>
      <c r="E918" t="s">
        <v>51</v>
      </c>
      <c r="F918" t="s">
        <v>21</v>
      </c>
      <c r="G918" t="s">
        <v>16</v>
      </c>
      <c r="H918" t="s">
        <v>35</v>
      </c>
      <c r="I918">
        <v>4</v>
      </c>
      <c r="J918">
        <v>4.33</v>
      </c>
      <c r="K918">
        <v>17.32</v>
      </c>
    </row>
    <row r="919" spans="1:11" x14ac:dyDescent="0.3">
      <c r="A919">
        <v>1918</v>
      </c>
      <c r="B919" s="3" t="s">
        <v>122</v>
      </c>
      <c r="C919" s="1" t="s">
        <v>723</v>
      </c>
      <c r="D919" t="s">
        <v>33</v>
      </c>
      <c r="E919" t="s">
        <v>51</v>
      </c>
      <c r="F919" t="s">
        <v>28</v>
      </c>
      <c r="G919" t="s">
        <v>29</v>
      </c>
      <c r="H919" t="s">
        <v>30</v>
      </c>
      <c r="I919">
        <v>1</v>
      </c>
      <c r="J919">
        <v>2.39</v>
      </c>
      <c r="K919">
        <v>2.39</v>
      </c>
    </row>
    <row r="920" spans="1:11" x14ac:dyDescent="0.3">
      <c r="A920">
        <v>1919</v>
      </c>
      <c r="B920" s="3" t="s">
        <v>210</v>
      </c>
      <c r="C920" s="1" t="s">
        <v>174</v>
      </c>
      <c r="D920" t="s">
        <v>38</v>
      </c>
      <c r="E920" t="s">
        <v>34</v>
      </c>
      <c r="F920" t="s">
        <v>15</v>
      </c>
      <c r="G920" t="s">
        <v>29</v>
      </c>
      <c r="H920" t="s">
        <v>43</v>
      </c>
      <c r="I920">
        <v>1</v>
      </c>
      <c r="J920">
        <v>5.99</v>
      </c>
      <c r="K920">
        <v>5.99</v>
      </c>
    </row>
    <row r="921" spans="1:11" x14ac:dyDescent="0.3">
      <c r="A921">
        <v>1920</v>
      </c>
      <c r="B921" s="3" t="s">
        <v>346</v>
      </c>
      <c r="C921" s="1" t="s">
        <v>689</v>
      </c>
      <c r="D921" t="s">
        <v>48</v>
      </c>
      <c r="E921" t="s">
        <v>51</v>
      </c>
      <c r="F921" t="s">
        <v>15</v>
      </c>
      <c r="G921" t="s">
        <v>22</v>
      </c>
      <c r="H921" t="s">
        <v>23</v>
      </c>
      <c r="I921">
        <v>1</v>
      </c>
      <c r="J921">
        <v>5.36</v>
      </c>
      <c r="K921">
        <v>5.36</v>
      </c>
    </row>
    <row r="922" spans="1:11" x14ac:dyDescent="0.3">
      <c r="A922">
        <v>1921</v>
      </c>
      <c r="B922" s="3" t="s">
        <v>213</v>
      </c>
      <c r="C922" s="1" t="s">
        <v>759</v>
      </c>
      <c r="D922" t="s">
        <v>13</v>
      </c>
      <c r="E922" t="s">
        <v>20</v>
      </c>
      <c r="F922" t="s">
        <v>28</v>
      </c>
      <c r="G922" t="s">
        <v>29</v>
      </c>
      <c r="H922" t="s">
        <v>57</v>
      </c>
      <c r="I922">
        <v>4</v>
      </c>
      <c r="J922">
        <v>3.33</v>
      </c>
      <c r="K922">
        <v>13.32</v>
      </c>
    </row>
    <row r="923" spans="1:11" x14ac:dyDescent="0.3">
      <c r="A923">
        <v>1922</v>
      </c>
      <c r="B923" s="3" t="s">
        <v>340</v>
      </c>
      <c r="C923" s="1" t="s">
        <v>101</v>
      </c>
      <c r="D923" t="s">
        <v>26</v>
      </c>
      <c r="E923" t="s">
        <v>39</v>
      </c>
      <c r="F923" t="s">
        <v>21</v>
      </c>
      <c r="G923" t="s">
        <v>70</v>
      </c>
      <c r="H923" t="s">
        <v>71</v>
      </c>
      <c r="I923">
        <v>5</v>
      </c>
      <c r="J923">
        <v>3.01</v>
      </c>
      <c r="K923">
        <v>15.05</v>
      </c>
    </row>
    <row r="924" spans="1:11" x14ac:dyDescent="0.3">
      <c r="A924">
        <v>1923</v>
      </c>
      <c r="B924" s="3" t="s">
        <v>378</v>
      </c>
      <c r="C924" s="1" t="s">
        <v>564</v>
      </c>
      <c r="D924" t="s">
        <v>48</v>
      </c>
      <c r="E924" t="s">
        <v>34</v>
      </c>
      <c r="F924" t="s">
        <v>28</v>
      </c>
      <c r="G924" t="s">
        <v>16</v>
      </c>
      <c r="H924" t="s">
        <v>35</v>
      </c>
      <c r="I924">
        <v>1</v>
      </c>
      <c r="J924">
        <v>4.05</v>
      </c>
      <c r="K924">
        <v>4.05</v>
      </c>
    </row>
    <row r="925" spans="1:11" x14ac:dyDescent="0.3">
      <c r="A925">
        <v>1924</v>
      </c>
      <c r="B925" s="3" t="s">
        <v>203</v>
      </c>
      <c r="C925" s="1" t="s">
        <v>675</v>
      </c>
      <c r="D925" t="s">
        <v>42</v>
      </c>
      <c r="E925" t="s">
        <v>51</v>
      </c>
      <c r="F925" t="s">
        <v>28</v>
      </c>
      <c r="G925" t="s">
        <v>22</v>
      </c>
      <c r="H925" t="s">
        <v>23</v>
      </c>
      <c r="I925">
        <v>1</v>
      </c>
      <c r="J925">
        <v>2.4500000000000002</v>
      </c>
      <c r="K925">
        <v>2.4500000000000002</v>
      </c>
    </row>
    <row r="926" spans="1:11" x14ac:dyDescent="0.3">
      <c r="A926">
        <v>1925</v>
      </c>
      <c r="B926" s="3" t="s">
        <v>116</v>
      </c>
      <c r="C926" s="1" t="s">
        <v>148</v>
      </c>
      <c r="D926" t="s">
        <v>26</v>
      </c>
      <c r="E926" t="s">
        <v>27</v>
      </c>
      <c r="F926" t="s">
        <v>21</v>
      </c>
      <c r="G926" t="s">
        <v>70</v>
      </c>
      <c r="H926" t="s">
        <v>95</v>
      </c>
      <c r="I926">
        <v>2</v>
      </c>
      <c r="J926">
        <v>3.01</v>
      </c>
      <c r="K926">
        <v>6.02</v>
      </c>
    </row>
    <row r="927" spans="1:11" x14ac:dyDescent="0.3">
      <c r="A927">
        <v>1926</v>
      </c>
      <c r="B927" s="3" t="s">
        <v>64</v>
      </c>
      <c r="C927" s="1" t="s">
        <v>760</v>
      </c>
      <c r="D927" t="s">
        <v>48</v>
      </c>
      <c r="E927" t="s">
        <v>39</v>
      </c>
      <c r="F927" t="s">
        <v>15</v>
      </c>
      <c r="G927" t="s">
        <v>22</v>
      </c>
      <c r="H927" t="s">
        <v>23</v>
      </c>
      <c r="I927">
        <v>4</v>
      </c>
      <c r="J927">
        <v>3.54</v>
      </c>
      <c r="K927">
        <v>14.16</v>
      </c>
    </row>
    <row r="928" spans="1:11" x14ac:dyDescent="0.3">
      <c r="A928">
        <v>1927</v>
      </c>
      <c r="B928" s="3" t="s">
        <v>46</v>
      </c>
      <c r="C928" s="1" t="s">
        <v>761</v>
      </c>
      <c r="D928" t="s">
        <v>48</v>
      </c>
      <c r="E928" t="s">
        <v>27</v>
      </c>
      <c r="F928" t="s">
        <v>15</v>
      </c>
      <c r="G928" t="s">
        <v>16</v>
      </c>
      <c r="H928" t="s">
        <v>35</v>
      </c>
      <c r="I928">
        <v>5</v>
      </c>
      <c r="J928">
        <v>3.95</v>
      </c>
      <c r="K928">
        <v>19.75</v>
      </c>
    </row>
    <row r="929" spans="1:11" x14ac:dyDescent="0.3">
      <c r="A929">
        <v>1928</v>
      </c>
      <c r="B929" s="3" t="s">
        <v>661</v>
      </c>
      <c r="C929" s="1" t="s">
        <v>383</v>
      </c>
      <c r="D929" t="s">
        <v>13</v>
      </c>
      <c r="E929" t="s">
        <v>51</v>
      </c>
      <c r="F929" t="s">
        <v>15</v>
      </c>
      <c r="G929" t="s">
        <v>70</v>
      </c>
      <c r="H929" t="s">
        <v>95</v>
      </c>
      <c r="I929">
        <v>5</v>
      </c>
      <c r="J929">
        <v>2.31</v>
      </c>
      <c r="K929">
        <v>11.55</v>
      </c>
    </row>
    <row r="930" spans="1:11" x14ac:dyDescent="0.3">
      <c r="A930">
        <v>1929</v>
      </c>
      <c r="B930" s="3" t="s">
        <v>156</v>
      </c>
      <c r="C930" s="1" t="s">
        <v>533</v>
      </c>
      <c r="D930" t="s">
        <v>26</v>
      </c>
      <c r="E930" t="s">
        <v>14</v>
      </c>
      <c r="F930" t="s">
        <v>28</v>
      </c>
      <c r="G930" t="s">
        <v>70</v>
      </c>
      <c r="H930" t="s">
        <v>90</v>
      </c>
      <c r="I930">
        <v>1</v>
      </c>
      <c r="J930">
        <v>2.48</v>
      </c>
      <c r="K930">
        <v>2.48</v>
      </c>
    </row>
    <row r="931" spans="1:11" x14ac:dyDescent="0.3">
      <c r="A931">
        <v>1930</v>
      </c>
      <c r="B931" s="3" t="s">
        <v>557</v>
      </c>
      <c r="C931" s="1" t="s">
        <v>762</v>
      </c>
      <c r="D931" t="s">
        <v>13</v>
      </c>
      <c r="E931" t="s">
        <v>34</v>
      </c>
      <c r="F931" t="s">
        <v>28</v>
      </c>
      <c r="G931" t="s">
        <v>70</v>
      </c>
      <c r="H931" t="s">
        <v>95</v>
      </c>
      <c r="I931">
        <v>2</v>
      </c>
      <c r="J931">
        <v>2.54</v>
      </c>
      <c r="K931">
        <v>5.08</v>
      </c>
    </row>
    <row r="932" spans="1:11" x14ac:dyDescent="0.3">
      <c r="A932">
        <v>1931</v>
      </c>
      <c r="B932" s="3" t="s">
        <v>270</v>
      </c>
      <c r="C932" s="1" t="s">
        <v>186</v>
      </c>
      <c r="D932" t="s">
        <v>33</v>
      </c>
      <c r="E932" t="s">
        <v>34</v>
      </c>
      <c r="F932" t="s">
        <v>28</v>
      </c>
      <c r="G932" t="s">
        <v>16</v>
      </c>
      <c r="H932" t="s">
        <v>17</v>
      </c>
      <c r="I932">
        <v>1</v>
      </c>
      <c r="J932">
        <v>4.93</v>
      </c>
      <c r="K932">
        <v>4.93</v>
      </c>
    </row>
    <row r="933" spans="1:11" x14ac:dyDescent="0.3">
      <c r="A933">
        <v>1932</v>
      </c>
      <c r="B933" s="3" t="s">
        <v>355</v>
      </c>
      <c r="C933" s="1" t="s">
        <v>763</v>
      </c>
      <c r="D933" t="s">
        <v>38</v>
      </c>
      <c r="E933" t="s">
        <v>39</v>
      </c>
      <c r="F933" t="s">
        <v>21</v>
      </c>
      <c r="G933" t="s">
        <v>29</v>
      </c>
      <c r="H933" t="s">
        <v>52</v>
      </c>
      <c r="I933">
        <v>4</v>
      </c>
      <c r="J933">
        <v>3.78</v>
      </c>
      <c r="K933">
        <v>15.12</v>
      </c>
    </row>
    <row r="934" spans="1:11" x14ac:dyDescent="0.3">
      <c r="A934">
        <v>1933</v>
      </c>
      <c r="B934" s="3" t="s">
        <v>156</v>
      </c>
      <c r="C934" s="1" t="s">
        <v>764</v>
      </c>
      <c r="D934" t="s">
        <v>26</v>
      </c>
      <c r="E934" t="s">
        <v>14</v>
      </c>
      <c r="F934" t="s">
        <v>15</v>
      </c>
      <c r="G934" t="s">
        <v>16</v>
      </c>
      <c r="H934" t="s">
        <v>17</v>
      </c>
      <c r="I934">
        <v>3</v>
      </c>
      <c r="J934">
        <v>4.05</v>
      </c>
      <c r="K934">
        <v>12.15</v>
      </c>
    </row>
    <row r="935" spans="1:11" x14ac:dyDescent="0.3">
      <c r="A935">
        <v>1934</v>
      </c>
      <c r="B935" s="3" t="s">
        <v>169</v>
      </c>
      <c r="C935" s="1" t="s">
        <v>765</v>
      </c>
      <c r="D935" t="s">
        <v>48</v>
      </c>
      <c r="E935" t="s">
        <v>20</v>
      </c>
      <c r="F935" t="s">
        <v>28</v>
      </c>
      <c r="G935" t="s">
        <v>70</v>
      </c>
      <c r="H935" t="s">
        <v>90</v>
      </c>
      <c r="I935">
        <v>4</v>
      </c>
      <c r="J935">
        <v>5.44</v>
      </c>
      <c r="K935">
        <v>21.76</v>
      </c>
    </row>
    <row r="936" spans="1:11" x14ac:dyDescent="0.3">
      <c r="A936">
        <v>1935</v>
      </c>
      <c r="B936" s="3" t="s">
        <v>153</v>
      </c>
      <c r="C936" s="1" t="s">
        <v>695</v>
      </c>
      <c r="D936" t="s">
        <v>13</v>
      </c>
      <c r="E936" t="s">
        <v>14</v>
      </c>
      <c r="F936" t="s">
        <v>28</v>
      </c>
      <c r="G936" t="s">
        <v>22</v>
      </c>
      <c r="H936" t="s">
        <v>23</v>
      </c>
      <c r="I936">
        <v>1</v>
      </c>
      <c r="J936">
        <v>2.99</v>
      </c>
      <c r="K936">
        <v>2.99</v>
      </c>
    </row>
    <row r="937" spans="1:11" x14ac:dyDescent="0.3">
      <c r="A937">
        <v>1936</v>
      </c>
      <c r="B937" s="3" t="s">
        <v>246</v>
      </c>
      <c r="C937" s="1" t="s">
        <v>298</v>
      </c>
      <c r="D937" t="s">
        <v>33</v>
      </c>
      <c r="E937" t="s">
        <v>39</v>
      </c>
      <c r="F937" t="s">
        <v>28</v>
      </c>
      <c r="G937" t="s">
        <v>70</v>
      </c>
      <c r="H937" t="s">
        <v>95</v>
      </c>
      <c r="I937">
        <v>3</v>
      </c>
      <c r="J937">
        <v>4.63</v>
      </c>
      <c r="K937">
        <v>13.89</v>
      </c>
    </row>
    <row r="938" spans="1:11" x14ac:dyDescent="0.3">
      <c r="A938">
        <v>1937</v>
      </c>
      <c r="B938" s="3" t="s">
        <v>169</v>
      </c>
      <c r="C938" s="1" t="s">
        <v>317</v>
      </c>
      <c r="D938" t="s">
        <v>48</v>
      </c>
      <c r="E938" t="s">
        <v>20</v>
      </c>
      <c r="F938" t="s">
        <v>21</v>
      </c>
      <c r="G938" t="s">
        <v>29</v>
      </c>
      <c r="H938" t="s">
        <v>30</v>
      </c>
      <c r="I938">
        <v>3</v>
      </c>
      <c r="J938">
        <v>3.38</v>
      </c>
      <c r="K938">
        <v>10.14</v>
      </c>
    </row>
    <row r="939" spans="1:11" x14ac:dyDescent="0.3">
      <c r="A939">
        <v>1938</v>
      </c>
      <c r="B939" s="3" t="s">
        <v>648</v>
      </c>
      <c r="C939" s="1" t="s">
        <v>89</v>
      </c>
      <c r="D939" t="s">
        <v>26</v>
      </c>
      <c r="E939" t="s">
        <v>79</v>
      </c>
      <c r="F939" t="s">
        <v>15</v>
      </c>
      <c r="G939" t="s">
        <v>70</v>
      </c>
      <c r="H939" t="s">
        <v>90</v>
      </c>
      <c r="I939">
        <v>4</v>
      </c>
      <c r="J939">
        <v>3.14</v>
      </c>
      <c r="K939">
        <v>12.56</v>
      </c>
    </row>
    <row r="940" spans="1:11" x14ac:dyDescent="0.3">
      <c r="A940">
        <v>1939</v>
      </c>
      <c r="B940" s="3" t="s">
        <v>171</v>
      </c>
      <c r="C940" s="1" t="s">
        <v>457</v>
      </c>
      <c r="D940" t="s">
        <v>13</v>
      </c>
      <c r="E940" t="s">
        <v>79</v>
      </c>
      <c r="F940" t="s">
        <v>15</v>
      </c>
      <c r="G940" t="s">
        <v>29</v>
      </c>
      <c r="H940" t="s">
        <v>57</v>
      </c>
      <c r="I940">
        <v>2</v>
      </c>
      <c r="J940">
        <v>4.3499999999999996</v>
      </c>
      <c r="K940">
        <v>8.6999999999999993</v>
      </c>
    </row>
    <row r="941" spans="1:11" x14ac:dyDescent="0.3">
      <c r="A941">
        <v>1940</v>
      </c>
      <c r="B941" s="3" t="s">
        <v>418</v>
      </c>
      <c r="C941" s="1" t="s">
        <v>261</v>
      </c>
      <c r="D941" t="s">
        <v>42</v>
      </c>
      <c r="E941" t="s">
        <v>14</v>
      </c>
      <c r="F941" t="s">
        <v>21</v>
      </c>
      <c r="G941" t="s">
        <v>70</v>
      </c>
      <c r="H941" t="s">
        <v>95</v>
      </c>
      <c r="I941">
        <v>5</v>
      </c>
      <c r="J941">
        <v>3.23</v>
      </c>
      <c r="K941">
        <v>16.149999999999999</v>
      </c>
    </row>
    <row r="942" spans="1:11" x14ac:dyDescent="0.3">
      <c r="A942">
        <v>1941</v>
      </c>
      <c r="B942" s="3" t="s">
        <v>80</v>
      </c>
      <c r="C942" s="1" t="s">
        <v>766</v>
      </c>
      <c r="D942" t="s">
        <v>42</v>
      </c>
      <c r="E942" t="s">
        <v>34</v>
      </c>
      <c r="F942" t="s">
        <v>21</v>
      </c>
      <c r="G942" t="s">
        <v>29</v>
      </c>
      <c r="H942" t="s">
        <v>30</v>
      </c>
      <c r="I942">
        <v>5</v>
      </c>
      <c r="J942">
        <v>2.54</v>
      </c>
      <c r="K942">
        <v>12.7</v>
      </c>
    </row>
    <row r="943" spans="1:11" x14ac:dyDescent="0.3">
      <c r="A943">
        <v>1942</v>
      </c>
      <c r="B943" s="3" t="s">
        <v>499</v>
      </c>
      <c r="C943" s="1" t="s">
        <v>767</v>
      </c>
      <c r="D943" t="s">
        <v>48</v>
      </c>
      <c r="E943" t="s">
        <v>27</v>
      </c>
      <c r="F943" t="s">
        <v>28</v>
      </c>
      <c r="G943" t="s">
        <v>22</v>
      </c>
      <c r="H943" t="s">
        <v>23</v>
      </c>
      <c r="I943">
        <v>1</v>
      </c>
      <c r="J943">
        <v>4.29</v>
      </c>
      <c r="K943">
        <v>4.29</v>
      </c>
    </row>
    <row r="944" spans="1:11" x14ac:dyDescent="0.3">
      <c r="A944">
        <v>1943</v>
      </c>
      <c r="B944" s="3" t="s">
        <v>557</v>
      </c>
      <c r="C944" s="1" t="s">
        <v>357</v>
      </c>
      <c r="D944" t="s">
        <v>13</v>
      </c>
      <c r="E944" t="s">
        <v>34</v>
      </c>
      <c r="F944" t="s">
        <v>21</v>
      </c>
      <c r="G944" t="s">
        <v>16</v>
      </c>
      <c r="H944" t="s">
        <v>17</v>
      </c>
      <c r="I944">
        <v>4</v>
      </c>
      <c r="J944">
        <v>4.18</v>
      </c>
      <c r="K944">
        <v>16.72</v>
      </c>
    </row>
    <row r="945" spans="1:11" x14ac:dyDescent="0.3">
      <c r="A945">
        <v>1944</v>
      </c>
      <c r="B945" s="3" t="s">
        <v>72</v>
      </c>
      <c r="C945" s="1" t="s">
        <v>643</v>
      </c>
      <c r="D945" t="s">
        <v>13</v>
      </c>
      <c r="E945" t="s">
        <v>39</v>
      </c>
      <c r="F945" t="s">
        <v>21</v>
      </c>
      <c r="G945" t="s">
        <v>29</v>
      </c>
      <c r="H945" t="s">
        <v>30</v>
      </c>
      <c r="I945">
        <v>2</v>
      </c>
      <c r="J945">
        <v>5.41</v>
      </c>
      <c r="K945">
        <v>10.82</v>
      </c>
    </row>
    <row r="946" spans="1:11" x14ac:dyDescent="0.3">
      <c r="A946">
        <v>1945</v>
      </c>
      <c r="B946" s="3" t="s">
        <v>203</v>
      </c>
      <c r="C946" s="1" t="s">
        <v>768</v>
      </c>
      <c r="D946" t="s">
        <v>42</v>
      </c>
      <c r="E946" t="s">
        <v>51</v>
      </c>
      <c r="F946" t="s">
        <v>21</v>
      </c>
      <c r="G946" t="s">
        <v>22</v>
      </c>
      <c r="H946" t="s">
        <v>23</v>
      </c>
      <c r="I946">
        <v>4</v>
      </c>
      <c r="J946">
        <v>2.7</v>
      </c>
      <c r="K946">
        <v>10.8</v>
      </c>
    </row>
    <row r="947" spans="1:11" x14ac:dyDescent="0.3">
      <c r="A947">
        <v>1946</v>
      </c>
      <c r="B947" s="3" t="s">
        <v>253</v>
      </c>
      <c r="C947" s="1" t="s">
        <v>393</v>
      </c>
      <c r="D947" t="s">
        <v>13</v>
      </c>
      <c r="E947" t="s">
        <v>79</v>
      </c>
      <c r="F947" t="s">
        <v>15</v>
      </c>
      <c r="G947" t="s">
        <v>29</v>
      </c>
      <c r="H947" t="s">
        <v>30</v>
      </c>
      <c r="I947">
        <v>2</v>
      </c>
      <c r="J947">
        <v>2.39</v>
      </c>
      <c r="K947">
        <v>4.78</v>
      </c>
    </row>
    <row r="948" spans="1:11" x14ac:dyDescent="0.3">
      <c r="A948">
        <v>1947</v>
      </c>
      <c r="B948" s="3" t="s">
        <v>326</v>
      </c>
      <c r="C948" s="1" t="s">
        <v>136</v>
      </c>
      <c r="D948" t="s">
        <v>33</v>
      </c>
      <c r="E948" t="s">
        <v>79</v>
      </c>
      <c r="F948" t="s">
        <v>21</v>
      </c>
      <c r="G948" t="s">
        <v>22</v>
      </c>
      <c r="H948" t="s">
        <v>23</v>
      </c>
      <c r="I948">
        <v>5</v>
      </c>
      <c r="J948">
        <v>3.55</v>
      </c>
      <c r="K948">
        <v>17.75</v>
      </c>
    </row>
    <row r="949" spans="1:11" x14ac:dyDescent="0.3">
      <c r="A949">
        <v>1948</v>
      </c>
      <c r="B949" s="3" t="s">
        <v>124</v>
      </c>
      <c r="C949" s="1" t="s">
        <v>395</v>
      </c>
      <c r="D949" t="s">
        <v>48</v>
      </c>
      <c r="E949" t="s">
        <v>14</v>
      </c>
      <c r="F949" t="s">
        <v>28</v>
      </c>
      <c r="G949" t="s">
        <v>22</v>
      </c>
      <c r="H949" t="s">
        <v>23</v>
      </c>
      <c r="I949">
        <v>2</v>
      </c>
      <c r="J949">
        <v>2.97</v>
      </c>
      <c r="K949">
        <v>5.94</v>
      </c>
    </row>
    <row r="950" spans="1:11" x14ac:dyDescent="0.3">
      <c r="A950">
        <v>1949</v>
      </c>
      <c r="B950" s="3" t="s">
        <v>229</v>
      </c>
      <c r="C950" s="1" t="s">
        <v>590</v>
      </c>
      <c r="D950" t="s">
        <v>48</v>
      </c>
      <c r="E950" t="s">
        <v>79</v>
      </c>
      <c r="F950" t="s">
        <v>21</v>
      </c>
      <c r="G950" t="s">
        <v>70</v>
      </c>
      <c r="H950" t="s">
        <v>71</v>
      </c>
      <c r="I950">
        <v>4</v>
      </c>
      <c r="J950">
        <v>5.49</v>
      </c>
      <c r="K950">
        <v>21.96</v>
      </c>
    </row>
    <row r="951" spans="1:11" x14ac:dyDescent="0.3">
      <c r="A951">
        <v>1950</v>
      </c>
      <c r="B951" s="3" t="s">
        <v>368</v>
      </c>
      <c r="C951" s="1" t="s">
        <v>769</v>
      </c>
      <c r="D951" t="s">
        <v>38</v>
      </c>
      <c r="E951" t="s">
        <v>27</v>
      </c>
      <c r="F951" t="s">
        <v>28</v>
      </c>
      <c r="G951" t="s">
        <v>29</v>
      </c>
      <c r="H951" t="s">
        <v>30</v>
      </c>
      <c r="I951">
        <v>5</v>
      </c>
      <c r="J951">
        <v>4.1500000000000004</v>
      </c>
      <c r="K951">
        <v>20.75</v>
      </c>
    </row>
    <row r="952" spans="1:11" x14ac:dyDescent="0.3">
      <c r="A952">
        <v>1951</v>
      </c>
      <c r="B952" s="3" t="s">
        <v>218</v>
      </c>
      <c r="C952" s="1" t="s">
        <v>770</v>
      </c>
      <c r="D952" t="s">
        <v>38</v>
      </c>
      <c r="E952" t="s">
        <v>20</v>
      </c>
      <c r="F952" t="s">
        <v>28</v>
      </c>
      <c r="G952" t="s">
        <v>70</v>
      </c>
      <c r="H952" t="s">
        <v>71</v>
      </c>
      <c r="I952">
        <v>3</v>
      </c>
      <c r="J952">
        <v>2.1</v>
      </c>
      <c r="K952">
        <v>6.3</v>
      </c>
    </row>
    <row r="953" spans="1:11" x14ac:dyDescent="0.3">
      <c r="A953">
        <v>1952</v>
      </c>
      <c r="B953" s="3" t="s">
        <v>66</v>
      </c>
      <c r="C953" s="1" t="s">
        <v>677</v>
      </c>
      <c r="D953" t="s">
        <v>42</v>
      </c>
      <c r="E953" t="s">
        <v>39</v>
      </c>
      <c r="F953" t="s">
        <v>21</v>
      </c>
      <c r="G953" t="s">
        <v>70</v>
      </c>
      <c r="H953" t="s">
        <v>90</v>
      </c>
      <c r="I953">
        <v>3</v>
      </c>
      <c r="J953">
        <v>4.76</v>
      </c>
      <c r="K953">
        <v>14.28</v>
      </c>
    </row>
    <row r="954" spans="1:11" x14ac:dyDescent="0.3">
      <c r="A954">
        <v>1953</v>
      </c>
      <c r="B954" s="3" t="s">
        <v>387</v>
      </c>
      <c r="C954" s="1" t="s">
        <v>565</v>
      </c>
      <c r="D954" t="s">
        <v>38</v>
      </c>
      <c r="E954" t="s">
        <v>20</v>
      </c>
      <c r="F954" t="s">
        <v>21</v>
      </c>
      <c r="G954" t="s">
        <v>70</v>
      </c>
      <c r="H954" t="s">
        <v>95</v>
      </c>
      <c r="I954">
        <v>1</v>
      </c>
      <c r="J954">
        <v>2.8</v>
      </c>
      <c r="K954">
        <v>2.8</v>
      </c>
    </row>
    <row r="955" spans="1:11" x14ac:dyDescent="0.3">
      <c r="A955">
        <v>1954</v>
      </c>
      <c r="B955" s="3" t="s">
        <v>562</v>
      </c>
      <c r="C955" s="1" t="s">
        <v>625</v>
      </c>
      <c r="D955" t="s">
        <v>48</v>
      </c>
      <c r="E955" t="s">
        <v>20</v>
      </c>
      <c r="F955" t="s">
        <v>21</v>
      </c>
      <c r="G955" t="s">
        <v>70</v>
      </c>
      <c r="H955" t="s">
        <v>95</v>
      </c>
      <c r="I955">
        <v>2</v>
      </c>
      <c r="J955">
        <v>3.74</v>
      </c>
      <c r="K955">
        <v>7.48</v>
      </c>
    </row>
    <row r="956" spans="1:11" x14ac:dyDescent="0.3">
      <c r="A956">
        <v>1955</v>
      </c>
      <c r="B956" s="3" t="s">
        <v>619</v>
      </c>
      <c r="C956" s="1" t="s">
        <v>728</v>
      </c>
      <c r="D956" t="s">
        <v>38</v>
      </c>
      <c r="E956" t="s">
        <v>34</v>
      </c>
      <c r="F956" t="s">
        <v>28</v>
      </c>
      <c r="G956" t="s">
        <v>70</v>
      </c>
      <c r="H956" t="s">
        <v>95</v>
      </c>
      <c r="I956">
        <v>2</v>
      </c>
      <c r="J956">
        <v>5.44</v>
      </c>
      <c r="K956">
        <v>10.88</v>
      </c>
    </row>
    <row r="957" spans="1:11" x14ac:dyDescent="0.3">
      <c r="A957">
        <v>1956</v>
      </c>
      <c r="B957" s="3" t="s">
        <v>68</v>
      </c>
      <c r="C957" s="1" t="s">
        <v>338</v>
      </c>
      <c r="D957" t="s">
        <v>13</v>
      </c>
      <c r="E957" t="s">
        <v>27</v>
      </c>
      <c r="F957" t="s">
        <v>21</v>
      </c>
      <c r="G957" t="s">
        <v>70</v>
      </c>
      <c r="H957" t="s">
        <v>95</v>
      </c>
      <c r="I957">
        <v>4</v>
      </c>
      <c r="J957">
        <v>4.63</v>
      </c>
      <c r="K957">
        <v>18.52</v>
      </c>
    </row>
    <row r="958" spans="1:11" x14ac:dyDescent="0.3">
      <c r="A958">
        <v>1957</v>
      </c>
      <c r="B958" s="3" t="s">
        <v>102</v>
      </c>
      <c r="C958" s="1" t="s">
        <v>259</v>
      </c>
      <c r="D958" t="s">
        <v>33</v>
      </c>
      <c r="E958" t="s">
        <v>14</v>
      </c>
      <c r="F958" t="s">
        <v>28</v>
      </c>
      <c r="G958" t="s">
        <v>22</v>
      </c>
      <c r="H958" t="s">
        <v>23</v>
      </c>
      <c r="I958">
        <v>5</v>
      </c>
      <c r="J958">
        <v>3.53</v>
      </c>
      <c r="K958">
        <v>17.649999999999999</v>
      </c>
    </row>
    <row r="959" spans="1:11" x14ac:dyDescent="0.3">
      <c r="A959">
        <v>1958</v>
      </c>
      <c r="B959" s="3" t="s">
        <v>340</v>
      </c>
      <c r="C959" s="1" t="s">
        <v>463</v>
      </c>
      <c r="D959" t="s">
        <v>26</v>
      </c>
      <c r="E959" t="s">
        <v>39</v>
      </c>
      <c r="F959" t="s">
        <v>21</v>
      </c>
      <c r="G959" t="s">
        <v>22</v>
      </c>
      <c r="H959" t="s">
        <v>23</v>
      </c>
      <c r="I959">
        <v>4</v>
      </c>
      <c r="J959">
        <v>4.5599999999999996</v>
      </c>
      <c r="K959">
        <v>18.239999999999998</v>
      </c>
    </row>
    <row r="960" spans="1:11" x14ac:dyDescent="0.3">
      <c r="A960">
        <v>1959</v>
      </c>
      <c r="B960" s="3" t="s">
        <v>77</v>
      </c>
      <c r="C960" s="1" t="s">
        <v>367</v>
      </c>
      <c r="D960" t="s">
        <v>38</v>
      </c>
      <c r="E960" t="s">
        <v>79</v>
      </c>
      <c r="F960" t="s">
        <v>15</v>
      </c>
      <c r="G960" t="s">
        <v>29</v>
      </c>
      <c r="H960" t="s">
        <v>43</v>
      </c>
      <c r="I960">
        <v>5</v>
      </c>
      <c r="J960">
        <v>5.87</v>
      </c>
      <c r="K960">
        <v>29.35</v>
      </c>
    </row>
    <row r="961" spans="1:11" x14ac:dyDescent="0.3">
      <c r="A961">
        <v>1960</v>
      </c>
      <c r="B961" s="3" t="s">
        <v>268</v>
      </c>
      <c r="C961" s="1" t="s">
        <v>252</v>
      </c>
      <c r="D961" t="s">
        <v>33</v>
      </c>
      <c r="E961" t="s">
        <v>51</v>
      </c>
      <c r="F961" t="s">
        <v>21</v>
      </c>
      <c r="G961" t="s">
        <v>70</v>
      </c>
      <c r="H961" t="s">
        <v>71</v>
      </c>
      <c r="I961">
        <v>4</v>
      </c>
      <c r="J961">
        <v>4.08</v>
      </c>
      <c r="K961">
        <v>16.32</v>
      </c>
    </row>
    <row r="962" spans="1:11" x14ac:dyDescent="0.3">
      <c r="A962">
        <v>1961</v>
      </c>
      <c r="B962" s="3" t="s">
        <v>139</v>
      </c>
      <c r="C962" s="1" t="s">
        <v>771</v>
      </c>
      <c r="D962" t="s">
        <v>38</v>
      </c>
      <c r="E962" t="s">
        <v>20</v>
      </c>
      <c r="F962" t="s">
        <v>28</v>
      </c>
      <c r="G962" t="s">
        <v>22</v>
      </c>
      <c r="H962" t="s">
        <v>23</v>
      </c>
      <c r="I962">
        <v>4</v>
      </c>
      <c r="J962">
        <v>5.14</v>
      </c>
      <c r="K962">
        <v>20.56</v>
      </c>
    </row>
    <row r="963" spans="1:11" x14ac:dyDescent="0.3">
      <c r="A963">
        <v>1962</v>
      </c>
      <c r="B963" s="3" t="s">
        <v>269</v>
      </c>
      <c r="C963" s="1" t="s">
        <v>772</v>
      </c>
      <c r="D963" t="s">
        <v>26</v>
      </c>
      <c r="E963" t="s">
        <v>79</v>
      </c>
      <c r="F963" t="s">
        <v>28</v>
      </c>
      <c r="G963" t="s">
        <v>16</v>
      </c>
      <c r="H963" t="s">
        <v>76</v>
      </c>
      <c r="I963">
        <v>1</v>
      </c>
      <c r="J963">
        <v>2.59</v>
      </c>
      <c r="K963">
        <v>2.59</v>
      </c>
    </row>
    <row r="964" spans="1:11" x14ac:dyDescent="0.3">
      <c r="A964">
        <v>1963</v>
      </c>
      <c r="B964" s="3" t="s">
        <v>106</v>
      </c>
      <c r="C964" s="1" t="s">
        <v>83</v>
      </c>
      <c r="D964" t="s">
        <v>26</v>
      </c>
      <c r="E964" t="s">
        <v>39</v>
      </c>
      <c r="F964" t="s">
        <v>28</v>
      </c>
      <c r="G964" t="s">
        <v>29</v>
      </c>
      <c r="H964" t="s">
        <v>43</v>
      </c>
      <c r="I964">
        <v>3</v>
      </c>
      <c r="J964">
        <v>2.89</v>
      </c>
      <c r="K964">
        <v>8.67</v>
      </c>
    </row>
    <row r="965" spans="1:11" x14ac:dyDescent="0.3">
      <c r="A965">
        <v>1964</v>
      </c>
      <c r="B965" s="3" t="s">
        <v>308</v>
      </c>
      <c r="C965" s="1" t="s">
        <v>247</v>
      </c>
      <c r="D965" t="s">
        <v>42</v>
      </c>
      <c r="E965" t="s">
        <v>27</v>
      </c>
      <c r="F965" t="s">
        <v>15</v>
      </c>
      <c r="G965" t="s">
        <v>29</v>
      </c>
      <c r="H965" t="s">
        <v>57</v>
      </c>
      <c r="I965">
        <v>4</v>
      </c>
      <c r="J965">
        <v>2.39</v>
      </c>
      <c r="K965">
        <v>9.56</v>
      </c>
    </row>
    <row r="966" spans="1:11" x14ac:dyDescent="0.3">
      <c r="A966">
        <v>1965</v>
      </c>
      <c r="B966" s="3" t="s">
        <v>310</v>
      </c>
      <c r="C966" s="1" t="s">
        <v>441</v>
      </c>
      <c r="D966" t="s">
        <v>48</v>
      </c>
      <c r="E966" t="s">
        <v>39</v>
      </c>
      <c r="F966" t="s">
        <v>21</v>
      </c>
      <c r="G966" t="s">
        <v>16</v>
      </c>
      <c r="H966" t="s">
        <v>35</v>
      </c>
      <c r="I966">
        <v>1</v>
      </c>
      <c r="J966">
        <v>4.67</v>
      </c>
      <c r="K966">
        <v>4.67</v>
      </c>
    </row>
    <row r="967" spans="1:11" x14ac:dyDescent="0.3">
      <c r="A967">
        <v>1966</v>
      </c>
      <c r="B967" s="3" t="s">
        <v>459</v>
      </c>
      <c r="C967" s="1" t="s">
        <v>763</v>
      </c>
      <c r="D967" t="s">
        <v>13</v>
      </c>
      <c r="E967" t="s">
        <v>39</v>
      </c>
      <c r="F967" t="s">
        <v>28</v>
      </c>
      <c r="G967" t="s">
        <v>29</v>
      </c>
      <c r="H967" t="s">
        <v>57</v>
      </c>
      <c r="I967">
        <v>4</v>
      </c>
      <c r="J967">
        <v>3.46</v>
      </c>
      <c r="K967">
        <v>13.84</v>
      </c>
    </row>
    <row r="968" spans="1:11" x14ac:dyDescent="0.3">
      <c r="A968">
        <v>1967</v>
      </c>
      <c r="B968" s="3" t="s">
        <v>137</v>
      </c>
      <c r="C968" s="1" t="s">
        <v>25</v>
      </c>
      <c r="D968" t="s">
        <v>33</v>
      </c>
      <c r="E968" t="s">
        <v>51</v>
      </c>
      <c r="F968" t="s">
        <v>28</v>
      </c>
      <c r="G968" t="s">
        <v>16</v>
      </c>
      <c r="H968" t="s">
        <v>76</v>
      </c>
      <c r="I968">
        <v>3</v>
      </c>
      <c r="J968">
        <v>2.5299999999999998</v>
      </c>
      <c r="K968">
        <v>7.59</v>
      </c>
    </row>
    <row r="969" spans="1:11" x14ac:dyDescent="0.3">
      <c r="A969">
        <v>1968</v>
      </c>
      <c r="B969" s="3" t="s">
        <v>55</v>
      </c>
      <c r="C969" s="1" t="s">
        <v>309</v>
      </c>
      <c r="D969" t="s">
        <v>38</v>
      </c>
      <c r="E969" t="s">
        <v>20</v>
      </c>
      <c r="F969" t="s">
        <v>28</v>
      </c>
      <c r="G969" t="s">
        <v>70</v>
      </c>
      <c r="H969" t="s">
        <v>90</v>
      </c>
      <c r="I969">
        <v>2</v>
      </c>
      <c r="J969">
        <v>4.42</v>
      </c>
      <c r="K969">
        <v>8.84</v>
      </c>
    </row>
    <row r="970" spans="1:11" x14ac:dyDescent="0.3">
      <c r="A970">
        <v>1969</v>
      </c>
      <c r="B970" s="3" t="s">
        <v>325</v>
      </c>
      <c r="C970" s="1" t="s">
        <v>476</v>
      </c>
      <c r="D970" t="s">
        <v>38</v>
      </c>
      <c r="E970" t="s">
        <v>27</v>
      </c>
      <c r="F970" t="s">
        <v>28</v>
      </c>
      <c r="G970" t="s">
        <v>70</v>
      </c>
      <c r="H970" t="s">
        <v>90</v>
      </c>
      <c r="I970">
        <v>3</v>
      </c>
      <c r="J970">
        <v>4.7</v>
      </c>
      <c r="K970">
        <v>14.1</v>
      </c>
    </row>
    <row r="971" spans="1:11" x14ac:dyDescent="0.3">
      <c r="A971">
        <v>1970</v>
      </c>
      <c r="B971" s="3" t="s">
        <v>661</v>
      </c>
      <c r="C971" s="1" t="s">
        <v>501</v>
      </c>
      <c r="D971" t="s">
        <v>13</v>
      </c>
      <c r="E971" t="s">
        <v>51</v>
      </c>
      <c r="F971" t="s">
        <v>15</v>
      </c>
      <c r="G971" t="s">
        <v>22</v>
      </c>
      <c r="H971" t="s">
        <v>23</v>
      </c>
      <c r="I971">
        <v>3</v>
      </c>
      <c r="J971">
        <v>3.87</v>
      </c>
      <c r="K971">
        <v>11.61</v>
      </c>
    </row>
    <row r="972" spans="1:11" x14ac:dyDescent="0.3">
      <c r="A972">
        <v>1971</v>
      </c>
      <c r="B972" s="3" t="s">
        <v>197</v>
      </c>
      <c r="C972" s="1" t="s">
        <v>196</v>
      </c>
      <c r="D972" t="s">
        <v>33</v>
      </c>
      <c r="E972" t="s">
        <v>79</v>
      </c>
      <c r="F972" t="s">
        <v>15</v>
      </c>
      <c r="G972" t="s">
        <v>70</v>
      </c>
      <c r="H972" t="s">
        <v>71</v>
      </c>
      <c r="I972">
        <v>3</v>
      </c>
      <c r="J972">
        <v>3.93</v>
      </c>
      <c r="K972">
        <v>11.79</v>
      </c>
    </row>
    <row r="973" spans="1:11" x14ac:dyDescent="0.3">
      <c r="A973">
        <v>1972</v>
      </c>
      <c r="B973" s="3" t="s">
        <v>619</v>
      </c>
      <c r="C973" s="1" t="s">
        <v>773</v>
      </c>
      <c r="D973" t="s">
        <v>38</v>
      </c>
      <c r="E973" t="s">
        <v>34</v>
      </c>
      <c r="F973" t="s">
        <v>15</v>
      </c>
      <c r="G973" t="s">
        <v>16</v>
      </c>
      <c r="H973" t="s">
        <v>35</v>
      </c>
      <c r="I973">
        <v>2</v>
      </c>
      <c r="J973">
        <v>5.32</v>
      </c>
      <c r="K973">
        <v>10.64</v>
      </c>
    </row>
    <row r="974" spans="1:11" x14ac:dyDescent="0.3">
      <c r="A974">
        <v>1973</v>
      </c>
      <c r="B974" s="3" t="s">
        <v>211</v>
      </c>
      <c r="C974" s="1" t="s">
        <v>19</v>
      </c>
      <c r="D974" t="s">
        <v>42</v>
      </c>
      <c r="E974" t="s">
        <v>27</v>
      </c>
      <c r="F974" t="s">
        <v>15</v>
      </c>
      <c r="G974" t="s">
        <v>16</v>
      </c>
      <c r="H974" t="s">
        <v>35</v>
      </c>
      <c r="I974">
        <v>5</v>
      </c>
      <c r="J974">
        <v>2.4700000000000002</v>
      </c>
      <c r="K974">
        <v>12.35</v>
      </c>
    </row>
    <row r="975" spans="1:11" x14ac:dyDescent="0.3">
      <c r="A975">
        <v>1974</v>
      </c>
      <c r="B975" s="3" t="s">
        <v>315</v>
      </c>
      <c r="C975" s="1" t="s">
        <v>468</v>
      </c>
      <c r="D975" t="s">
        <v>48</v>
      </c>
      <c r="E975" t="s">
        <v>39</v>
      </c>
      <c r="F975" t="s">
        <v>28</v>
      </c>
      <c r="G975" t="s">
        <v>70</v>
      </c>
      <c r="H975" t="s">
        <v>90</v>
      </c>
      <c r="I975">
        <v>4</v>
      </c>
      <c r="J975">
        <v>3.85</v>
      </c>
      <c r="K975">
        <v>15.4</v>
      </c>
    </row>
    <row r="976" spans="1:11" x14ac:dyDescent="0.3">
      <c r="A976">
        <v>1975</v>
      </c>
      <c r="B976" s="3" t="s">
        <v>488</v>
      </c>
      <c r="C976" s="1" t="s">
        <v>774</v>
      </c>
      <c r="D976" t="s">
        <v>33</v>
      </c>
      <c r="E976" t="s">
        <v>14</v>
      </c>
      <c r="F976" t="s">
        <v>28</v>
      </c>
      <c r="G976" t="s">
        <v>22</v>
      </c>
      <c r="H976" t="s">
        <v>23</v>
      </c>
      <c r="I976">
        <v>3</v>
      </c>
      <c r="J976">
        <v>2.99</v>
      </c>
      <c r="K976">
        <v>8.9700000000000006</v>
      </c>
    </row>
    <row r="977" spans="1:11" x14ac:dyDescent="0.3">
      <c r="A977">
        <v>1976</v>
      </c>
      <c r="B977" s="3" t="s">
        <v>661</v>
      </c>
      <c r="C977" s="1" t="s">
        <v>748</v>
      </c>
      <c r="D977" t="s">
        <v>13</v>
      </c>
      <c r="E977" t="s">
        <v>51</v>
      </c>
      <c r="F977" t="s">
        <v>21</v>
      </c>
      <c r="G977" t="s">
        <v>70</v>
      </c>
      <c r="H977" t="s">
        <v>71</v>
      </c>
      <c r="I977">
        <v>1</v>
      </c>
      <c r="J977">
        <v>4.43</v>
      </c>
      <c r="K977">
        <v>4.43</v>
      </c>
    </row>
    <row r="978" spans="1:11" x14ac:dyDescent="0.3">
      <c r="A978">
        <v>1977</v>
      </c>
      <c r="B978" s="3" t="s">
        <v>340</v>
      </c>
      <c r="C978" s="1" t="s">
        <v>573</v>
      </c>
      <c r="D978" t="s">
        <v>26</v>
      </c>
      <c r="E978" t="s">
        <v>39</v>
      </c>
      <c r="F978" t="s">
        <v>28</v>
      </c>
      <c r="G978" t="s">
        <v>22</v>
      </c>
      <c r="H978" t="s">
        <v>23</v>
      </c>
      <c r="I978">
        <v>2</v>
      </c>
      <c r="J978">
        <v>3.55</v>
      </c>
      <c r="K978">
        <v>7.1</v>
      </c>
    </row>
    <row r="979" spans="1:11" x14ac:dyDescent="0.3">
      <c r="A979">
        <v>1978</v>
      </c>
      <c r="B979" s="3" t="s">
        <v>215</v>
      </c>
      <c r="C979" s="1" t="s">
        <v>576</v>
      </c>
      <c r="D979" t="s">
        <v>38</v>
      </c>
      <c r="E979" t="s">
        <v>20</v>
      </c>
      <c r="F979" t="s">
        <v>15</v>
      </c>
      <c r="G979" t="s">
        <v>29</v>
      </c>
      <c r="H979" t="s">
        <v>52</v>
      </c>
      <c r="I979">
        <v>3</v>
      </c>
      <c r="J979">
        <v>4.25</v>
      </c>
      <c r="K979">
        <v>12.75</v>
      </c>
    </row>
    <row r="980" spans="1:11" x14ac:dyDescent="0.3">
      <c r="A980">
        <v>1979</v>
      </c>
      <c r="B980" s="3" t="s">
        <v>473</v>
      </c>
      <c r="C980" s="1" t="s">
        <v>637</v>
      </c>
      <c r="D980" t="s">
        <v>33</v>
      </c>
      <c r="E980" t="s">
        <v>27</v>
      </c>
      <c r="F980" t="s">
        <v>21</v>
      </c>
      <c r="G980" t="s">
        <v>16</v>
      </c>
      <c r="H980" t="s">
        <v>17</v>
      </c>
      <c r="I980">
        <v>1</v>
      </c>
      <c r="J980">
        <v>4.28</v>
      </c>
      <c r="K980">
        <v>4.28</v>
      </c>
    </row>
    <row r="981" spans="1:11" x14ac:dyDescent="0.3">
      <c r="A981">
        <v>1980</v>
      </c>
      <c r="B981" s="3" t="s">
        <v>104</v>
      </c>
      <c r="C981" s="1" t="s">
        <v>103</v>
      </c>
      <c r="D981" t="s">
        <v>42</v>
      </c>
      <c r="E981" t="s">
        <v>39</v>
      </c>
      <c r="F981" t="s">
        <v>15</v>
      </c>
      <c r="G981" t="s">
        <v>29</v>
      </c>
      <c r="H981" t="s">
        <v>57</v>
      </c>
      <c r="I981">
        <v>4</v>
      </c>
      <c r="J981">
        <v>4.87</v>
      </c>
      <c r="K981">
        <v>19.48</v>
      </c>
    </row>
    <row r="982" spans="1:11" x14ac:dyDescent="0.3">
      <c r="A982">
        <v>1981</v>
      </c>
      <c r="B982" s="3" t="s">
        <v>473</v>
      </c>
      <c r="C982" s="1" t="s">
        <v>775</v>
      </c>
      <c r="D982" t="s">
        <v>33</v>
      </c>
      <c r="E982" t="s">
        <v>27</v>
      </c>
      <c r="F982" t="s">
        <v>21</v>
      </c>
      <c r="G982" t="s">
        <v>29</v>
      </c>
      <c r="H982" t="s">
        <v>43</v>
      </c>
      <c r="I982">
        <v>5</v>
      </c>
      <c r="J982">
        <v>3.34</v>
      </c>
      <c r="K982">
        <v>16.7</v>
      </c>
    </row>
    <row r="983" spans="1:11" x14ac:dyDescent="0.3">
      <c r="A983">
        <v>1982</v>
      </c>
      <c r="B983" s="3" t="s">
        <v>243</v>
      </c>
      <c r="C983" s="1" t="s">
        <v>529</v>
      </c>
      <c r="D983" t="s">
        <v>48</v>
      </c>
      <c r="E983" t="s">
        <v>39</v>
      </c>
      <c r="F983" t="s">
        <v>15</v>
      </c>
      <c r="G983" t="s">
        <v>16</v>
      </c>
      <c r="H983" t="s">
        <v>76</v>
      </c>
      <c r="I983">
        <v>5</v>
      </c>
      <c r="J983">
        <v>3.57</v>
      </c>
      <c r="K983">
        <v>17.850000000000001</v>
      </c>
    </row>
    <row r="984" spans="1:11" x14ac:dyDescent="0.3">
      <c r="A984">
        <v>1983</v>
      </c>
      <c r="B984" s="3" t="s">
        <v>334</v>
      </c>
      <c r="C984" s="1" t="s">
        <v>776</v>
      </c>
      <c r="D984" t="s">
        <v>38</v>
      </c>
      <c r="E984" t="s">
        <v>14</v>
      </c>
      <c r="F984" t="s">
        <v>21</v>
      </c>
      <c r="G984" t="s">
        <v>22</v>
      </c>
      <c r="H984" t="s">
        <v>23</v>
      </c>
      <c r="I984">
        <v>5</v>
      </c>
      <c r="J984">
        <v>5.72</v>
      </c>
      <c r="K984">
        <v>28.6</v>
      </c>
    </row>
    <row r="985" spans="1:11" x14ac:dyDescent="0.3">
      <c r="A985">
        <v>1984</v>
      </c>
      <c r="B985" s="3" t="s">
        <v>268</v>
      </c>
      <c r="C985" s="1" t="s">
        <v>182</v>
      </c>
      <c r="D985" t="s">
        <v>33</v>
      </c>
      <c r="E985" t="s">
        <v>51</v>
      </c>
      <c r="F985" t="s">
        <v>28</v>
      </c>
      <c r="G985" t="s">
        <v>29</v>
      </c>
      <c r="H985" t="s">
        <v>52</v>
      </c>
      <c r="I985">
        <v>2</v>
      </c>
      <c r="J985">
        <v>3.41</v>
      </c>
      <c r="K985">
        <v>6.82</v>
      </c>
    </row>
    <row r="986" spans="1:11" x14ac:dyDescent="0.3">
      <c r="A986">
        <v>1985</v>
      </c>
      <c r="B986" s="3" t="s">
        <v>447</v>
      </c>
      <c r="C986" s="1" t="s">
        <v>777</v>
      </c>
      <c r="D986" t="s">
        <v>38</v>
      </c>
      <c r="E986" t="s">
        <v>39</v>
      </c>
      <c r="F986" t="s">
        <v>21</v>
      </c>
      <c r="G986" t="s">
        <v>29</v>
      </c>
      <c r="H986" t="s">
        <v>57</v>
      </c>
      <c r="I986">
        <v>2</v>
      </c>
      <c r="J986">
        <v>4.04</v>
      </c>
      <c r="K986">
        <v>8.08</v>
      </c>
    </row>
    <row r="987" spans="1:11" x14ac:dyDescent="0.3">
      <c r="A987">
        <v>1986</v>
      </c>
      <c r="B987" s="3" t="s">
        <v>183</v>
      </c>
      <c r="C987" s="1" t="s">
        <v>548</v>
      </c>
      <c r="D987" t="s">
        <v>48</v>
      </c>
      <c r="E987" t="s">
        <v>34</v>
      </c>
      <c r="F987" t="s">
        <v>21</v>
      </c>
      <c r="G987" t="s">
        <v>70</v>
      </c>
      <c r="H987" t="s">
        <v>95</v>
      </c>
      <c r="I987">
        <v>4</v>
      </c>
      <c r="J987">
        <v>3.16</v>
      </c>
      <c r="K987">
        <v>12.64</v>
      </c>
    </row>
    <row r="988" spans="1:11" x14ac:dyDescent="0.3">
      <c r="A988">
        <v>1987</v>
      </c>
      <c r="B988" s="3" t="s">
        <v>192</v>
      </c>
      <c r="C988" s="1" t="s">
        <v>225</v>
      </c>
      <c r="D988" t="s">
        <v>13</v>
      </c>
      <c r="E988" t="s">
        <v>27</v>
      </c>
      <c r="F988" t="s">
        <v>21</v>
      </c>
      <c r="G988" t="s">
        <v>16</v>
      </c>
      <c r="H988" t="s">
        <v>17</v>
      </c>
      <c r="I988">
        <v>4</v>
      </c>
      <c r="J988">
        <v>5.47</v>
      </c>
      <c r="K988">
        <v>21.88</v>
      </c>
    </row>
    <row r="989" spans="1:11" x14ac:dyDescent="0.3">
      <c r="A989">
        <v>1988</v>
      </c>
      <c r="B989" s="3" t="s">
        <v>409</v>
      </c>
      <c r="C989" s="1" t="s">
        <v>309</v>
      </c>
      <c r="D989" t="s">
        <v>38</v>
      </c>
      <c r="E989" t="s">
        <v>39</v>
      </c>
      <c r="F989" t="s">
        <v>15</v>
      </c>
      <c r="G989" t="s">
        <v>16</v>
      </c>
      <c r="H989" t="s">
        <v>35</v>
      </c>
      <c r="I989">
        <v>5</v>
      </c>
      <c r="J989">
        <v>2.74</v>
      </c>
      <c r="K989">
        <v>13.7</v>
      </c>
    </row>
    <row r="990" spans="1:11" x14ac:dyDescent="0.3">
      <c r="A990">
        <v>1989</v>
      </c>
      <c r="B990" s="3" t="s">
        <v>96</v>
      </c>
      <c r="C990" s="1" t="s">
        <v>555</v>
      </c>
      <c r="D990" t="s">
        <v>26</v>
      </c>
      <c r="E990" t="s">
        <v>79</v>
      </c>
      <c r="F990" t="s">
        <v>28</v>
      </c>
      <c r="G990" t="s">
        <v>16</v>
      </c>
      <c r="H990" t="s">
        <v>35</v>
      </c>
      <c r="I990">
        <v>5</v>
      </c>
      <c r="J990">
        <v>2.1800000000000002</v>
      </c>
      <c r="K990">
        <v>10.9</v>
      </c>
    </row>
    <row r="991" spans="1:11" x14ac:dyDescent="0.3">
      <c r="A991">
        <v>1990</v>
      </c>
      <c r="B991" s="3" t="s">
        <v>130</v>
      </c>
      <c r="C991" s="1" t="s">
        <v>778</v>
      </c>
      <c r="D991" t="s">
        <v>26</v>
      </c>
      <c r="E991" t="s">
        <v>20</v>
      </c>
      <c r="F991" t="s">
        <v>28</v>
      </c>
      <c r="G991" t="s">
        <v>22</v>
      </c>
      <c r="H991" t="s">
        <v>23</v>
      </c>
      <c r="I991">
        <v>4</v>
      </c>
      <c r="J991">
        <v>2.17</v>
      </c>
      <c r="K991">
        <v>8.68</v>
      </c>
    </row>
    <row r="992" spans="1:11" x14ac:dyDescent="0.3">
      <c r="A992">
        <v>1991</v>
      </c>
      <c r="B992" s="3" t="s">
        <v>199</v>
      </c>
      <c r="C992" s="1" t="s">
        <v>195</v>
      </c>
      <c r="D992" t="s">
        <v>13</v>
      </c>
      <c r="E992" t="s">
        <v>79</v>
      </c>
      <c r="F992" t="s">
        <v>15</v>
      </c>
      <c r="G992" t="s">
        <v>16</v>
      </c>
      <c r="H992" t="s">
        <v>17</v>
      </c>
      <c r="I992">
        <v>5</v>
      </c>
      <c r="J992">
        <v>5.66</v>
      </c>
      <c r="K992">
        <v>28.3</v>
      </c>
    </row>
    <row r="993" spans="1:11" x14ac:dyDescent="0.3">
      <c r="A993">
        <v>1992</v>
      </c>
      <c r="B993" s="3" t="s">
        <v>58</v>
      </c>
      <c r="C993" s="1" t="s">
        <v>620</v>
      </c>
      <c r="D993" t="s">
        <v>42</v>
      </c>
      <c r="E993" t="s">
        <v>14</v>
      </c>
      <c r="F993" t="s">
        <v>15</v>
      </c>
      <c r="G993" t="s">
        <v>22</v>
      </c>
      <c r="H993" t="s">
        <v>23</v>
      </c>
      <c r="I993">
        <v>3</v>
      </c>
      <c r="J993">
        <v>5.72</v>
      </c>
      <c r="K993">
        <v>17.16</v>
      </c>
    </row>
    <row r="994" spans="1:11" x14ac:dyDescent="0.3">
      <c r="A994">
        <v>1993</v>
      </c>
      <c r="B994" s="3" t="s">
        <v>751</v>
      </c>
      <c r="C994" s="1" t="s">
        <v>779</v>
      </c>
      <c r="D994" t="s">
        <v>48</v>
      </c>
      <c r="E994" t="s">
        <v>27</v>
      </c>
      <c r="F994" t="s">
        <v>15</v>
      </c>
      <c r="G994" t="s">
        <v>22</v>
      </c>
      <c r="H994" t="s">
        <v>23</v>
      </c>
      <c r="I994">
        <v>5</v>
      </c>
      <c r="J994">
        <v>5.8</v>
      </c>
      <c r="K994">
        <v>29</v>
      </c>
    </row>
    <row r="995" spans="1:11" x14ac:dyDescent="0.3">
      <c r="A995">
        <v>1994</v>
      </c>
      <c r="B995" s="3" t="s">
        <v>40</v>
      </c>
      <c r="C995" s="1" t="s">
        <v>780</v>
      </c>
      <c r="D995" t="s">
        <v>42</v>
      </c>
      <c r="E995" t="s">
        <v>34</v>
      </c>
      <c r="F995" t="s">
        <v>21</v>
      </c>
      <c r="G995" t="s">
        <v>70</v>
      </c>
      <c r="H995" t="s">
        <v>90</v>
      </c>
      <c r="I995">
        <v>4</v>
      </c>
      <c r="J995">
        <v>2.17</v>
      </c>
      <c r="K995">
        <v>8.68</v>
      </c>
    </row>
    <row r="996" spans="1:11" x14ac:dyDescent="0.3">
      <c r="A996">
        <v>1995</v>
      </c>
      <c r="B996" s="3" t="s">
        <v>112</v>
      </c>
      <c r="C996" s="1" t="s">
        <v>249</v>
      </c>
      <c r="D996" t="s">
        <v>48</v>
      </c>
      <c r="E996" t="s">
        <v>14</v>
      </c>
      <c r="F996" t="s">
        <v>21</v>
      </c>
      <c r="G996" t="s">
        <v>29</v>
      </c>
      <c r="H996" t="s">
        <v>57</v>
      </c>
      <c r="I996">
        <v>3</v>
      </c>
      <c r="J996">
        <v>3.69</v>
      </c>
      <c r="K996">
        <v>11.07</v>
      </c>
    </row>
    <row r="997" spans="1:11" x14ac:dyDescent="0.3">
      <c r="A997">
        <v>1996</v>
      </c>
      <c r="B997" s="3" t="s">
        <v>499</v>
      </c>
      <c r="C997" s="1" t="s">
        <v>781</v>
      </c>
      <c r="D997" t="s">
        <v>48</v>
      </c>
      <c r="E997" t="s">
        <v>27</v>
      </c>
      <c r="F997" t="s">
        <v>28</v>
      </c>
      <c r="G997" t="s">
        <v>70</v>
      </c>
      <c r="H997" t="s">
        <v>95</v>
      </c>
      <c r="I997">
        <v>3</v>
      </c>
      <c r="J997">
        <v>4.8899999999999997</v>
      </c>
      <c r="K997">
        <v>14.67</v>
      </c>
    </row>
    <row r="998" spans="1:11" x14ac:dyDescent="0.3">
      <c r="A998">
        <v>1997</v>
      </c>
      <c r="B998" s="3" t="s">
        <v>53</v>
      </c>
      <c r="C998" s="1" t="s">
        <v>398</v>
      </c>
      <c r="D998" t="s">
        <v>38</v>
      </c>
      <c r="E998" t="s">
        <v>14</v>
      </c>
      <c r="F998" t="s">
        <v>21</v>
      </c>
      <c r="G998" t="s">
        <v>16</v>
      </c>
      <c r="H998" t="s">
        <v>17</v>
      </c>
      <c r="I998">
        <v>4</v>
      </c>
      <c r="J998">
        <v>5.24</v>
      </c>
      <c r="K998">
        <v>20.96</v>
      </c>
    </row>
    <row r="999" spans="1:11" x14ac:dyDescent="0.3">
      <c r="A999">
        <v>1998</v>
      </c>
      <c r="B999" s="3" t="s">
        <v>44</v>
      </c>
      <c r="C999" s="1" t="s">
        <v>220</v>
      </c>
      <c r="D999" t="s">
        <v>42</v>
      </c>
      <c r="E999" t="s">
        <v>34</v>
      </c>
      <c r="F999" t="s">
        <v>15</v>
      </c>
      <c r="G999" t="s">
        <v>22</v>
      </c>
      <c r="H999" t="s">
        <v>23</v>
      </c>
      <c r="I999">
        <v>5</v>
      </c>
      <c r="J999">
        <v>4.3600000000000003</v>
      </c>
      <c r="K999">
        <v>21.8</v>
      </c>
    </row>
    <row r="1000" spans="1:11" x14ac:dyDescent="0.3">
      <c r="A1000">
        <v>1999</v>
      </c>
      <c r="B1000" s="3" t="s">
        <v>160</v>
      </c>
      <c r="C1000" s="1" t="s">
        <v>782</v>
      </c>
      <c r="D1000" t="s">
        <v>33</v>
      </c>
      <c r="E1000" t="s">
        <v>20</v>
      </c>
      <c r="F1000" t="s">
        <v>21</v>
      </c>
      <c r="G1000" t="s">
        <v>16</v>
      </c>
      <c r="H1000" t="s">
        <v>76</v>
      </c>
      <c r="I1000">
        <v>3</v>
      </c>
      <c r="J1000">
        <v>2.44</v>
      </c>
      <c r="K1000">
        <v>7.32</v>
      </c>
    </row>
    <row r="1001" spans="1:11" x14ac:dyDescent="0.3">
      <c r="A1001">
        <v>2000</v>
      </c>
      <c r="B1001" s="3" t="s">
        <v>301</v>
      </c>
      <c r="C1001" s="1" t="s">
        <v>783</v>
      </c>
      <c r="D1001" t="s">
        <v>33</v>
      </c>
      <c r="E1001" t="s">
        <v>14</v>
      </c>
      <c r="F1001" t="s">
        <v>15</v>
      </c>
      <c r="G1001" t="s">
        <v>70</v>
      </c>
      <c r="H1001" t="s">
        <v>90</v>
      </c>
      <c r="I1001">
        <v>5</v>
      </c>
      <c r="J1001">
        <v>2.41</v>
      </c>
      <c r="K1001">
        <v>12.05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29DD2-7C01-40F5-96EE-870897E44125}">
  <dimension ref="A1:AF46"/>
  <sheetViews>
    <sheetView showGridLines="0" showRowColHeaders="0" tabSelected="1" workbookViewId="0">
      <selection activeCell="N36" sqref="N36"/>
    </sheetView>
  </sheetViews>
  <sheetFormatPr defaultRowHeight="14.4" x14ac:dyDescent="0.3"/>
  <cols>
    <col min="16" max="16" width="4" customWidth="1"/>
    <col min="17" max="17" width="20.5546875" bestFit="1" customWidth="1"/>
    <col min="18" max="18" width="14.88671875" bestFit="1" customWidth="1"/>
    <col min="19" max="19" width="17.77734375" customWidth="1"/>
    <col min="20" max="20" width="15.6640625" bestFit="1" customWidth="1"/>
  </cols>
  <sheetData>
    <row r="1" spans="1:32"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row>
    <row r="2" spans="1:32"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row>
    <row r="3" spans="1:32"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2"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spans="1:32" ht="10.8" customHeight="1"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spans="1:32" ht="13.8" customHeight="1"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spans="1:32" x14ac:dyDescent="0.3">
      <c r="A7" s="5"/>
      <c r="B7" s="5"/>
      <c r="C7" s="5"/>
      <c r="D7" s="5"/>
      <c r="E7" s="5"/>
      <c r="F7" s="5"/>
      <c r="G7" s="5"/>
      <c r="H7" s="5"/>
      <c r="I7" s="5"/>
      <c r="J7" s="5"/>
      <c r="K7" s="5"/>
      <c r="L7" s="5"/>
      <c r="M7" s="5"/>
      <c r="N7" s="5"/>
      <c r="O7" s="5"/>
      <c r="Q7" s="6" t="s">
        <v>785</v>
      </c>
      <c r="R7" t="s">
        <v>787</v>
      </c>
      <c r="S7" t="s">
        <v>784</v>
      </c>
      <c r="T7" t="s">
        <v>788</v>
      </c>
      <c r="U7" s="5"/>
      <c r="V7" s="5"/>
      <c r="W7" s="5"/>
      <c r="X7" s="5"/>
      <c r="Y7" s="5"/>
      <c r="Z7" s="5"/>
      <c r="AA7" s="5"/>
      <c r="AB7" s="5"/>
      <c r="AC7" s="5"/>
      <c r="AD7" s="5"/>
      <c r="AE7" s="5"/>
      <c r="AF7" s="5"/>
    </row>
    <row r="8" spans="1:32" x14ac:dyDescent="0.3">
      <c r="A8" s="5"/>
      <c r="B8" s="5"/>
      <c r="C8" s="5"/>
      <c r="D8" s="5"/>
      <c r="E8" s="5"/>
      <c r="F8" s="5"/>
      <c r="G8" s="5"/>
      <c r="H8" s="5"/>
      <c r="I8" s="5"/>
      <c r="J8" s="5"/>
      <c r="K8" s="5"/>
      <c r="L8" s="5"/>
      <c r="M8" s="5"/>
      <c r="N8" s="5"/>
      <c r="O8" s="5"/>
      <c r="Q8" s="7" t="s">
        <v>28</v>
      </c>
      <c r="R8" s="10">
        <v>1010</v>
      </c>
      <c r="S8" s="10">
        <v>4074.1199999999994</v>
      </c>
      <c r="T8" s="10">
        <v>1362.4499999999998</v>
      </c>
      <c r="U8" s="5"/>
      <c r="V8" s="5"/>
      <c r="W8" s="5"/>
      <c r="X8" s="5"/>
      <c r="Y8" s="5"/>
      <c r="Z8" s="5"/>
      <c r="AA8" s="5"/>
      <c r="AB8" s="5"/>
      <c r="AC8" s="5"/>
      <c r="AD8" s="5"/>
      <c r="AE8" s="5"/>
      <c r="AF8" s="5"/>
    </row>
    <row r="9" spans="1:32" x14ac:dyDescent="0.3">
      <c r="A9" s="5"/>
      <c r="B9" s="5"/>
      <c r="C9" s="5"/>
      <c r="D9" s="5"/>
      <c r="E9" s="5"/>
      <c r="F9" s="5"/>
      <c r="G9" s="5"/>
      <c r="H9" s="5"/>
      <c r="I9" s="5"/>
      <c r="J9" s="5"/>
      <c r="K9" s="5"/>
      <c r="L9" s="5"/>
      <c r="M9" s="5"/>
      <c r="N9" s="5"/>
      <c r="O9" s="5"/>
      <c r="Q9" s="8" t="s">
        <v>70</v>
      </c>
      <c r="R9" s="10">
        <v>245</v>
      </c>
      <c r="S9" s="10">
        <v>1033.6299999999997</v>
      </c>
      <c r="T9" s="10">
        <v>356.89000000000004</v>
      </c>
      <c r="U9" s="5"/>
      <c r="V9" s="5"/>
      <c r="W9" s="5"/>
      <c r="X9" s="5"/>
      <c r="Y9" s="5"/>
      <c r="Z9" s="5"/>
      <c r="AA9" s="5"/>
      <c r="AB9" s="5"/>
      <c r="AC9" s="5"/>
      <c r="AD9" s="5"/>
      <c r="AE9" s="5"/>
      <c r="AF9" s="5"/>
    </row>
    <row r="10" spans="1:32" x14ac:dyDescent="0.3">
      <c r="A10" s="5"/>
      <c r="B10" s="5"/>
      <c r="C10" s="5"/>
      <c r="D10" s="5"/>
      <c r="E10" s="5"/>
      <c r="F10" s="5"/>
      <c r="G10" s="5"/>
      <c r="H10" s="5"/>
      <c r="I10" s="5"/>
      <c r="J10" s="5"/>
      <c r="K10" s="5"/>
      <c r="L10" s="5"/>
      <c r="M10" s="5"/>
      <c r="N10" s="5"/>
      <c r="O10" s="5"/>
      <c r="Q10" s="8" t="s">
        <v>29</v>
      </c>
      <c r="R10" s="10">
        <v>274</v>
      </c>
      <c r="S10" s="10">
        <v>1078.8799999999999</v>
      </c>
      <c r="T10" s="10">
        <v>363.53999999999968</v>
      </c>
      <c r="U10" s="5"/>
      <c r="V10" s="5"/>
      <c r="W10" s="5"/>
      <c r="X10" s="5"/>
      <c r="Y10" s="5"/>
      <c r="Z10" s="5"/>
      <c r="AA10" s="5"/>
      <c r="AB10" s="5"/>
      <c r="AC10" s="5"/>
      <c r="AD10" s="5"/>
      <c r="AE10" s="5"/>
      <c r="AF10" s="5"/>
    </row>
    <row r="11" spans="1:32" x14ac:dyDescent="0.3">
      <c r="A11" s="5"/>
      <c r="B11" s="5"/>
      <c r="C11" s="5"/>
      <c r="D11" s="5"/>
      <c r="E11" s="5"/>
      <c r="F11" s="5"/>
      <c r="G11" s="5"/>
      <c r="H11" s="5"/>
      <c r="I11" s="5"/>
      <c r="J11" s="5"/>
      <c r="K11" s="5"/>
      <c r="L11" s="5"/>
      <c r="M11" s="5"/>
      <c r="N11" s="5"/>
      <c r="O11" s="5"/>
      <c r="Q11" s="8" t="s">
        <v>22</v>
      </c>
      <c r="R11" s="10">
        <v>246</v>
      </c>
      <c r="S11" s="10">
        <v>984.19000000000017</v>
      </c>
      <c r="T11" s="10">
        <v>328.60000000000014</v>
      </c>
      <c r="U11" s="5"/>
      <c r="V11" s="5"/>
      <c r="W11" s="5"/>
      <c r="X11" s="5"/>
      <c r="Y11" s="5"/>
      <c r="Z11" s="5"/>
      <c r="AA11" s="5"/>
      <c r="AB11" s="5"/>
      <c r="AC11" s="5"/>
      <c r="AD11" s="5"/>
      <c r="AE11" s="5"/>
      <c r="AF11" s="5"/>
    </row>
    <row r="12" spans="1:32" x14ac:dyDescent="0.3">
      <c r="A12" s="5"/>
      <c r="B12" s="5"/>
      <c r="C12" s="5"/>
      <c r="D12" s="5"/>
      <c r="E12" s="5"/>
      <c r="F12" s="5"/>
      <c r="G12" s="5"/>
      <c r="H12" s="5"/>
      <c r="I12" s="5"/>
      <c r="J12" s="5"/>
      <c r="K12" s="5"/>
      <c r="L12" s="5"/>
      <c r="M12" s="5"/>
      <c r="N12" s="5"/>
      <c r="O12" s="5"/>
      <c r="Q12" s="8" t="s">
        <v>16</v>
      </c>
      <c r="R12" s="10">
        <v>245</v>
      </c>
      <c r="S12" s="10">
        <v>977.42</v>
      </c>
      <c r="T12" s="10">
        <v>313.42000000000007</v>
      </c>
      <c r="U12" s="5"/>
      <c r="V12" s="5"/>
      <c r="W12" s="5"/>
      <c r="X12" s="5"/>
      <c r="Y12" s="5"/>
      <c r="Z12" s="5"/>
      <c r="AA12" s="5"/>
      <c r="AB12" s="5"/>
      <c r="AC12" s="5"/>
      <c r="AD12" s="5"/>
      <c r="AE12" s="5"/>
      <c r="AF12" s="5"/>
    </row>
    <row r="13" spans="1:32" x14ac:dyDescent="0.3">
      <c r="A13" s="5"/>
      <c r="B13" s="5"/>
      <c r="C13" s="5"/>
      <c r="D13" s="5"/>
      <c r="E13" s="5"/>
      <c r="F13" s="5"/>
      <c r="G13" s="5"/>
      <c r="H13" s="5"/>
      <c r="I13" s="5"/>
      <c r="J13" s="5"/>
      <c r="K13" s="5"/>
      <c r="L13" s="5"/>
      <c r="M13" s="5"/>
      <c r="N13" s="5"/>
      <c r="O13" s="5"/>
      <c r="Q13" s="7" t="s">
        <v>15</v>
      </c>
      <c r="R13" s="10">
        <v>959</v>
      </c>
      <c r="S13" s="10">
        <v>3742.2300000000005</v>
      </c>
      <c r="T13" s="10">
        <v>1282.4600000000003</v>
      </c>
      <c r="U13" s="5"/>
      <c r="V13" s="5"/>
      <c r="W13" s="5"/>
      <c r="X13" s="5"/>
      <c r="Y13" s="5"/>
      <c r="Z13" s="5"/>
      <c r="AA13" s="5"/>
      <c r="AB13" s="5"/>
      <c r="AC13" s="5"/>
      <c r="AD13" s="5"/>
      <c r="AE13" s="5"/>
      <c r="AF13" s="5"/>
    </row>
    <row r="14" spans="1:32" x14ac:dyDescent="0.3">
      <c r="A14" s="5"/>
      <c r="B14" s="5"/>
      <c r="C14" s="5"/>
      <c r="D14" s="5"/>
      <c r="E14" s="5"/>
      <c r="F14" s="5"/>
      <c r="G14" s="5"/>
      <c r="H14" s="5"/>
      <c r="I14" s="5"/>
      <c r="J14" s="5"/>
      <c r="K14" s="5"/>
      <c r="L14" s="5"/>
      <c r="M14" s="5"/>
      <c r="N14" s="5"/>
      <c r="O14" s="5"/>
      <c r="Q14" s="8" t="s">
        <v>70</v>
      </c>
      <c r="R14" s="10">
        <v>217</v>
      </c>
      <c r="S14" s="10">
        <v>812.04000000000019</v>
      </c>
      <c r="T14" s="10">
        <v>265.92000000000007</v>
      </c>
      <c r="U14" s="5"/>
      <c r="V14" s="5"/>
      <c r="W14" s="5"/>
      <c r="X14" s="5"/>
      <c r="Y14" s="5"/>
      <c r="Z14" s="5"/>
      <c r="AA14" s="5"/>
      <c r="AB14" s="5"/>
      <c r="AC14" s="5"/>
      <c r="AD14" s="5"/>
      <c r="AE14" s="5"/>
      <c r="AF14" s="5"/>
    </row>
    <row r="15" spans="1:32" x14ac:dyDescent="0.3">
      <c r="A15" s="5"/>
      <c r="B15" s="5"/>
      <c r="C15" s="5"/>
      <c r="D15" s="5"/>
      <c r="E15" s="5"/>
      <c r="F15" s="5"/>
      <c r="G15" s="5"/>
      <c r="H15" s="5"/>
      <c r="I15" s="5"/>
      <c r="J15" s="5"/>
      <c r="K15" s="5"/>
      <c r="L15" s="5"/>
      <c r="M15" s="5"/>
      <c r="N15" s="5"/>
      <c r="O15" s="5"/>
      <c r="Q15" s="8" t="s">
        <v>29</v>
      </c>
      <c r="R15" s="10">
        <v>233</v>
      </c>
      <c r="S15" s="10">
        <v>923.87000000000012</v>
      </c>
      <c r="T15" s="10">
        <v>338.99</v>
      </c>
      <c r="U15" s="5"/>
      <c r="V15" s="5"/>
      <c r="W15" s="5"/>
      <c r="X15" s="5"/>
      <c r="Y15" s="5"/>
      <c r="Z15" s="5"/>
      <c r="AA15" s="5"/>
      <c r="AB15" s="5"/>
      <c r="AC15" s="5"/>
      <c r="AD15" s="5"/>
      <c r="AE15" s="5"/>
      <c r="AF15" s="5"/>
    </row>
    <row r="16" spans="1:32" x14ac:dyDescent="0.3">
      <c r="A16" s="5"/>
      <c r="B16" s="5"/>
      <c r="C16" s="5"/>
      <c r="D16" s="5"/>
      <c r="E16" s="5"/>
      <c r="F16" s="5"/>
      <c r="G16" s="5"/>
      <c r="H16" s="5"/>
      <c r="I16" s="5"/>
      <c r="J16" s="5"/>
      <c r="K16" s="5"/>
      <c r="L16" s="5"/>
      <c r="M16" s="5"/>
      <c r="N16" s="5"/>
      <c r="O16" s="5"/>
      <c r="Q16" s="8" t="s">
        <v>22</v>
      </c>
      <c r="R16" s="10">
        <v>206</v>
      </c>
      <c r="S16" s="10">
        <v>843.9</v>
      </c>
      <c r="T16" s="10">
        <v>291.35000000000019</v>
      </c>
      <c r="U16" s="5"/>
      <c r="V16" s="5"/>
      <c r="W16" s="5"/>
      <c r="X16" s="5"/>
      <c r="Y16" s="5"/>
      <c r="Z16" s="5"/>
      <c r="AA16" s="5"/>
      <c r="AB16" s="5"/>
      <c r="AC16" s="5"/>
      <c r="AD16" s="5"/>
      <c r="AE16" s="5"/>
      <c r="AF16" s="5"/>
    </row>
    <row r="17" spans="1:32" x14ac:dyDescent="0.3">
      <c r="A17" s="5"/>
      <c r="B17" s="5"/>
      <c r="C17" s="5"/>
      <c r="D17" s="5"/>
      <c r="E17" s="5"/>
      <c r="F17" s="5"/>
      <c r="G17" s="5"/>
      <c r="H17" s="5"/>
      <c r="I17" s="5"/>
      <c r="J17" s="5"/>
      <c r="K17" s="5"/>
      <c r="L17" s="5"/>
      <c r="M17" s="5"/>
      <c r="N17" s="5"/>
      <c r="O17" s="5"/>
      <c r="Q17" s="8" t="s">
        <v>16</v>
      </c>
      <c r="R17" s="10">
        <v>303</v>
      </c>
      <c r="S17" s="10">
        <v>1162.42</v>
      </c>
      <c r="T17" s="10">
        <v>386.2000000000001</v>
      </c>
      <c r="U17" s="5"/>
      <c r="V17" s="5"/>
      <c r="W17" s="5"/>
      <c r="X17" s="5"/>
      <c r="Y17" s="5"/>
      <c r="Z17" s="5"/>
      <c r="AA17" s="5"/>
      <c r="AB17" s="5"/>
      <c r="AC17" s="5"/>
      <c r="AD17" s="5"/>
      <c r="AE17" s="5"/>
      <c r="AF17" s="5"/>
    </row>
    <row r="18" spans="1:32" x14ac:dyDescent="0.3">
      <c r="A18" s="5"/>
      <c r="B18" s="5"/>
      <c r="C18" s="5"/>
      <c r="D18" s="5"/>
      <c r="E18" s="5"/>
      <c r="F18" s="5"/>
      <c r="G18" s="5"/>
      <c r="H18" s="5"/>
      <c r="I18" s="5"/>
      <c r="J18" s="5"/>
      <c r="K18" s="5"/>
      <c r="L18" s="5"/>
      <c r="M18" s="5"/>
      <c r="N18" s="5"/>
      <c r="O18" s="5"/>
      <c r="Q18" s="7" t="s">
        <v>21</v>
      </c>
      <c r="R18" s="10">
        <v>1025</v>
      </c>
      <c r="S18" s="10">
        <v>4120.2800000000007</v>
      </c>
      <c r="T18" s="10">
        <v>1356.37</v>
      </c>
      <c r="U18" s="5"/>
      <c r="V18" s="5"/>
      <c r="W18" s="5"/>
      <c r="X18" s="5"/>
      <c r="Y18" s="5"/>
      <c r="Z18" s="5"/>
      <c r="AA18" s="5"/>
      <c r="AB18" s="5"/>
      <c r="AC18" s="5"/>
      <c r="AD18" s="5"/>
      <c r="AE18" s="5"/>
      <c r="AF18" s="5"/>
    </row>
    <row r="19" spans="1:32" x14ac:dyDescent="0.3">
      <c r="A19" s="5"/>
      <c r="B19" s="5"/>
      <c r="C19" s="5"/>
      <c r="D19" s="5"/>
      <c r="E19" s="5"/>
      <c r="F19" s="5"/>
      <c r="G19" s="5"/>
      <c r="H19" s="5"/>
      <c r="I19" s="5"/>
      <c r="J19" s="5"/>
      <c r="K19" s="5"/>
      <c r="L19" s="5"/>
      <c r="M19" s="5"/>
      <c r="N19" s="5"/>
      <c r="O19" s="5"/>
      <c r="Q19" s="8" t="s">
        <v>70</v>
      </c>
      <c r="R19" s="10">
        <v>299</v>
      </c>
      <c r="S19" s="10">
        <v>1220.57</v>
      </c>
      <c r="T19" s="10">
        <v>381.32</v>
      </c>
      <c r="U19" s="5"/>
      <c r="V19" s="5"/>
      <c r="W19" s="5"/>
      <c r="X19" s="5"/>
      <c r="Y19" s="5"/>
      <c r="Z19" s="5"/>
      <c r="AA19" s="5"/>
      <c r="AB19" s="5"/>
      <c r="AC19" s="5"/>
      <c r="AD19" s="5"/>
      <c r="AE19" s="5"/>
      <c r="AF19" s="5"/>
    </row>
    <row r="20" spans="1:32" x14ac:dyDescent="0.3">
      <c r="A20" s="5"/>
      <c r="B20" s="5"/>
      <c r="C20" s="5"/>
      <c r="D20" s="5"/>
      <c r="E20" s="5"/>
      <c r="F20" s="5"/>
      <c r="G20" s="5"/>
      <c r="H20" s="5"/>
      <c r="I20" s="5"/>
      <c r="J20" s="5"/>
      <c r="K20" s="5"/>
      <c r="L20" s="5"/>
      <c r="M20" s="5"/>
      <c r="N20" s="5"/>
      <c r="O20" s="5"/>
      <c r="Q20" s="8" t="s">
        <v>29</v>
      </c>
      <c r="R20" s="10">
        <v>242</v>
      </c>
      <c r="S20" s="10">
        <v>986.9400000000004</v>
      </c>
      <c r="T20" s="10">
        <v>339.18999999999983</v>
      </c>
      <c r="U20" s="5"/>
      <c r="V20" s="5"/>
      <c r="W20" s="5"/>
      <c r="X20" s="5"/>
      <c r="Y20" s="5"/>
      <c r="Z20" s="5"/>
      <c r="AA20" s="5"/>
      <c r="AB20" s="5"/>
      <c r="AC20" s="5"/>
      <c r="AD20" s="5"/>
      <c r="AE20" s="5"/>
      <c r="AF20" s="5"/>
    </row>
    <row r="21" spans="1:32" x14ac:dyDescent="0.3">
      <c r="A21" s="5"/>
      <c r="B21" s="5"/>
      <c r="C21" s="5"/>
      <c r="D21" s="5"/>
      <c r="E21" s="5"/>
      <c r="F21" s="5"/>
      <c r="G21" s="5"/>
      <c r="H21" s="5"/>
      <c r="I21" s="5"/>
      <c r="J21" s="5"/>
      <c r="K21" s="5"/>
      <c r="L21" s="5"/>
      <c r="M21" s="5"/>
      <c r="N21" s="5"/>
      <c r="O21" s="5"/>
      <c r="Q21" s="8" t="s">
        <v>22</v>
      </c>
      <c r="R21" s="10">
        <v>227</v>
      </c>
      <c r="S21" s="10">
        <v>901.62999999999977</v>
      </c>
      <c r="T21" s="10">
        <v>291.88000000000017</v>
      </c>
      <c r="U21" s="5"/>
      <c r="V21" s="5"/>
      <c r="W21" s="5"/>
      <c r="X21" s="5"/>
      <c r="Y21" s="5"/>
      <c r="Z21" s="5"/>
      <c r="AA21" s="5"/>
      <c r="AB21" s="5"/>
      <c r="AC21" s="5"/>
      <c r="AD21" s="5"/>
      <c r="AE21" s="5"/>
      <c r="AF21" s="5"/>
    </row>
    <row r="22" spans="1:32" x14ac:dyDescent="0.3">
      <c r="A22" s="5"/>
      <c r="B22" s="5"/>
      <c r="C22" s="5"/>
      <c r="D22" s="5"/>
      <c r="E22" s="5"/>
      <c r="F22" s="5"/>
      <c r="G22" s="5"/>
      <c r="H22" s="5"/>
      <c r="I22" s="5"/>
      <c r="J22" s="5"/>
      <c r="K22" s="5"/>
      <c r="L22" s="5"/>
      <c r="M22" s="5"/>
      <c r="N22" s="5"/>
      <c r="O22" s="5"/>
      <c r="Q22" s="8" t="s">
        <v>16</v>
      </c>
      <c r="R22" s="10">
        <v>257</v>
      </c>
      <c r="S22" s="10">
        <v>1011.1400000000003</v>
      </c>
      <c r="T22" s="10">
        <v>343.97999999999996</v>
      </c>
      <c r="U22" s="5"/>
      <c r="V22" s="5"/>
      <c r="W22" s="5"/>
      <c r="X22" s="5"/>
      <c r="Y22" s="5"/>
      <c r="Z22" s="5"/>
      <c r="AA22" s="5"/>
      <c r="AB22" s="5"/>
      <c r="AC22" s="5"/>
      <c r="AD22" s="5"/>
      <c r="AE22" s="5"/>
      <c r="AF22" s="5"/>
    </row>
    <row r="23" spans="1:32" x14ac:dyDescent="0.3">
      <c r="A23" s="5"/>
      <c r="B23" s="5"/>
      <c r="C23" s="5"/>
      <c r="D23" s="5"/>
      <c r="E23" s="5"/>
      <c r="F23" s="5"/>
      <c r="G23" s="5"/>
      <c r="H23" s="5"/>
      <c r="I23" s="5"/>
      <c r="J23" s="5"/>
      <c r="K23" s="5"/>
      <c r="L23" s="5"/>
      <c r="M23" s="5"/>
      <c r="N23" s="5"/>
      <c r="O23" s="5"/>
      <c r="P23" s="5"/>
      <c r="Q23" s="7" t="s">
        <v>786</v>
      </c>
      <c r="R23" s="10">
        <v>2994</v>
      </c>
      <c r="S23" s="10">
        <v>11936.630000000001</v>
      </c>
      <c r="T23" s="10">
        <v>4001.28</v>
      </c>
      <c r="U23" s="5"/>
      <c r="V23" s="5"/>
      <c r="W23" s="5"/>
      <c r="X23" s="5"/>
      <c r="Y23" s="5"/>
      <c r="Z23" s="5"/>
      <c r="AA23" s="5"/>
      <c r="AB23" s="5"/>
      <c r="AC23" s="5"/>
      <c r="AD23" s="5"/>
      <c r="AE23" s="5"/>
      <c r="AF23" s="5"/>
    </row>
    <row r="24" spans="1:32" x14ac:dyDescent="0.3">
      <c r="A24" s="5"/>
      <c r="B24" s="5"/>
      <c r="C24" s="5"/>
      <c r="D24" s="5"/>
      <c r="E24" s="5"/>
      <c r="F24" s="5"/>
      <c r="G24" s="5"/>
      <c r="H24" s="5"/>
      <c r="I24" s="5"/>
      <c r="J24" s="5"/>
      <c r="K24" s="5"/>
      <c r="L24" s="5"/>
      <c r="M24" s="5"/>
      <c r="N24" s="5"/>
      <c r="O24" s="5"/>
      <c r="P24" s="5"/>
      <c r="U24" s="5"/>
      <c r="V24" s="5"/>
      <c r="W24" s="5"/>
      <c r="X24" s="5"/>
      <c r="Y24" s="5"/>
      <c r="Z24" s="5"/>
      <c r="AA24" s="5"/>
      <c r="AB24" s="5"/>
      <c r="AC24" s="5"/>
      <c r="AD24" s="5"/>
      <c r="AE24" s="5"/>
      <c r="AF24" s="5"/>
    </row>
    <row r="25" spans="1:32" x14ac:dyDescent="0.3">
      <c r="A25" s="5"/>
      <c r="B25" s="5"/>
      <c r="C25" s="5"/>
      <c r="D25" s="5"/>
      <c r="E25" s="5"/>
      <c r="F25" s="5"/>
      <c r="G25" s="5"/>
      <c r="H25" s="5"/>
      <c r="I25" s="5"/>
      <c r="J25" s="5"/>
      <c r="K25" s="5"/>
      <c r="L25" s="5"/>
      <c r="M25" s="5"/>
      <c r="N25" s="5"/>
      <c r="O25" s="5"/>
      <c r="P25" s="5"/>
      <c r="U25" s="5"/>
      <c r="V25" s="5"/>
      <c r="W25" s="5"/>
      <c r="X25" s="5"/>
      <c r="Y25" s="5"/>
      <c r="Z25" s="5"/>
      <c r="AA25" s="5"/>
      <c r="AB25" s="5"/>
      <c r="AC25" s="5"/>
      <c r="AD25" s="5"/>
      <c r="AE25" s="5"/>
      <c r="AF25" s="5"/>
    </row>
    <row r="26" spans="1:32" x14ac:dyDescent="0.3">
      <c r="A26" s="5"/>
      <c r="B26" s="5"/>
      <c r="C26" s="5"/>
      <c r="D26" s="5"/>
      <c r="E26" s="5"/>
      <c r="F26" s="5"/>
      <c r="G26" s="5"/>
      <c r="H26" s="5"/>
      <c r="I26" s="5"/>
      <c r="J26" s="5"/>
      <c r="K26" s="5"/>
      <c r="L26" s="5"/>
      <c r="M26" s="5"/>
      <c r="N26" s="5"/>
      <c r="O26" s="5"/>
      <c r="P26" s="5"/>
      <c r="U26" s="5"/>
      <c r="V26" s="5"/>
      <c r="W26" s="5"/>
      <c r="X26" s="5"/>
      <c r="Y26" s="5"/>
      <c r="Z26" s="5"/>
      <c r="AA26" s="5"/>
      <c r="AB26" s="5"/>
      <c r="AC26" s="5"/>
      <c r="AD26" s="5"/>
      <c r="AE26" s="5"/>
      <c r="AF26" s="5"/>
    </row>
    <row r="27" spans="1:32" x14ac:dyDescent="0.3">
      <c r="A27" s="5"/>
      <c r="B27" s="5"/>
      <c r="C27" s="5"/>
      <c r="D27" s="5"/>
      <c r="E27" s="5"/>
      <c r="F27" s="5"/>
      <c r="G27" s="5"/>
      <c r="H27" s="5"/>
      <c r="I27" s="5"/>
      <c r="J27" s="5"/>
      <c r="K27" s="5"/>
      <c r="L27" s="5"/>
      <c r="M27" s="5"/>
      <c r="N27" s="5"/>
      <c r="O27" s="5"/>
      <c r="P27" s="5"/>
      <c r="U27" s="5"/>
      <c r="V27" s="5"/>
      <c r="W27" s="5"/>
      <c r="X27" s="5"/>
      <c r="Y27" s="5"/>
      <c r="Z27" s="5"/>
      <c r="AA27" s="5"/>
      <c r="AB27" s="5"/>
      <c r="AC27" s="5"/>
      <c r="AD27" s="5"/>
      <c r="AE27" s="5"/>
      <c r="AF27" s="5"/>
    </row>
    <row r="28" spans="1:32" x14ac:dyDescent="0.3">
      <c r="A28" s="5"/>
      <c r="B28" s="5"/>
      <c r="C28" s="5"/>
      <c r="D28" s="5"/>
      <c r="E28" s="5"/>
      <c r="F28" s="5"/>
      <c r="G28" s="5"/>
      <c r="H28" s="5"/>
      <c r="I28" s="5"/>
      <c r="J28" s="5"/>
      <c r="K28" s="5"/>
      <c r="L28" s="5"/>
      <c r="M28" s="5"/>
      <c r="N28" s="5"/>
      <c r="O28" s="5"/>
      <c r="P28" s="5"/>
      <c r="U28" s="5"/>
      <c r="V28" s="5"/>
      <c r="W28" s="5"/>
      <c r="X28" s="5"/>
      <c r="Y28" s="5"/>
      <c r="Z28" s="5"/>
      <c r="AA28" s="5"/>
      <c r="AB28" s="5"/>
      <c r="AC28" s="5"/>
      <c r="AD28" s="5"/>
      <c r="AE28" s="5"/>
      <c r="AF28" s="5"/>
    </row>
    <row r="29" spans="1:32" x14ac:dyDescent="0.3">
      <c r="A29" s="5"/>
      <c r="B29" s="5"/>
      <c r="C29" s="5"/>
      <c r="D29" s="5"/>
      <c r="E29" s="5"/>
      <c r="F29" s="5"/>
      <c r="G29" s="5"/>
      <c r="H29" s="5"/>
      <c r="I29" s="5"/>
      <c r="J29" s="5"/>
      <c r="K29" s="5"/>
      <c r="L29" s="5"/>
      <c r="M29" s="5"/>
      <c r="N29" s="5"/>
      <c r="O29" s="5"/>
      <c r="P29" s="5"/>
      <c r="U29" s="5"/>
      <c r="V29" s="5"/>
      <c r="W29" s="5"/>
      <c r="X29" s="5"/>
      <c r="Y29" s="5"/>
      <c r="Z29" s="5"/>
      <c r="AA29" s="5"/>
      <c r="AB29" s="5"/>
      <c r="AC29" s="5"/>
      <c r="AD29" s="5"/>
      <c r="AE29" s="5"/>
      <c r="AF29" s="5"/>
    </row>
    <row r="30" spans="1:32" x14ac:dyDescent="0.3">
      <c r="A30" s="5"/>
      <c r="B30" s="5"/>
      <c r="C30" s="5"/>
      <c r="D30" s="5"/>
      <c r="E30" s="5"/>
      <c r="F30" s="5"/>
      <c r="G30" s="5"/>
      <c r="H30" s="5"/>
      <c r="I30" s="5"/>
      <c r="J30" s="5"/>
      <c r="K30" s="5"/>
      <c r="L30" s="5"/>
      <c r="M30" s="5"/>
      <c r="N30" s="5"/>
      <c r="O30" s="5"/>
      <c r="P30" s="5"/>
      <c r="U30" s="5"/>
      <c r="V30" s="5"/>
      <c r="W30" s="5"/>
      <c r="X30" s="5"/>
      <c r="Y30" s="5"/>
      <c r="Z30" s="5"/>
      <c r="AA30" s="5"/>
      <c r="AB30" s="5"/>
      <c r="AC30" s="5"/>
      <c r="AD30" s="5"/>
      <c r="AE30" s="5"/>
      <c r="AF30" s="5"/>
    </row>
    <row r="31" spans="1:32" x14ac:dyDescent="0.3">
      <c r="A31" s="5"/>
      <c r="B31" s="5"/>
      <c r="C31" s="5"/>
      <c r="D31" s="5"/>
      <c r="E31" s="5"/>
      <c r="F31" s="5"/>
      <c r="G31" s="5"/>
      <c r="H31" s="5"/>
      <c r="I31" s="5"/>
      <c r="J31" s="5"/>
      <c r="K31" s="5"/>
      <c r="L31" s="5"/>
      <c r="M31" s="5"/>
      <c r="N31" s="5"/>
      <c r="O31" s="5"/>
      <c r="P31" s="5"/>
      <c r="U31" s="5"/>
      <c r="V31" s="5"/>
      <c r="W31" s="5"/>
      <c r="X31" s="5"/>
      <c r="Y31" s="5"/>
      <c r="Z31" s="5"/>
      <c r="AA31" s="5"/>
      <c r="AB31" s="5"/>
      <c r="AC31" s="5"/>
      <c r="AD31" s="5"/>
      <c r="AE31" s="5"/>
      <c r="AF31" s="5"/>
    </row>
    <row r="34" spans="3:14" x14ac:dyDescent="0.3">
      <c r="L34">
        <f>N34</f>
        <v>1500500</v>
      </c>
      <c r="N34">
        <f>GETPIVOTDATA("Sum of Transaction ID",'PIVOT TABLE'!$AB$54)</f>
        <v>1500500</v>
      </c>
    </row>
    <row r="35" spans="3:14" x14ac:dyDescent="0.3">
      <c r="C35">
        <f>GETPIVOTDATA("Count of Store Location",'PIVOT TABLE'!$AB$54)</f>
        <v>1000</v>
      </c>
      <c r="D35">
        <f>C35</f>
        <v>1000</v>
      </c>
      <c r="F35">
        <f>GETPIVOTDATA("Total Sales",'PIVOT TABLE'!$A$3)</f>
        <v>11936.630000000001</v>
      </c>
    </row>
    <row r="37" spans="3:14" x14ac:dyDescent="0.3">
      <c r="H37">
        <f>GETPIVOTDATA("Sum of Unit Price",'PIVOT TABLE'!$Z$24)</f>
        <v>4001.2799999999984</v>
      </c>
      <c r="I37">
        <f>H37</f>
        <v>4001.2799999999984</v>
      </c>
    </row>
    <row r="42" spans="3:14" x14ac:dyDescent="0.3">
      <c r="F42">
        <f>GETPIVOTDATA("Sum of Quantity",'PIVOT TABLE'!$Z$24)</f>
        <v>2994</v>
      </c>
    </row>
    <row r="46" spans="3:14" x14ac:dyDescent="0.3">
      <c r="K46">
        <f>GETPIVOTDATA("Sum of Transaction ID",'PIVOT TABLE'!$AB$54)</f>
        <v>1500500</v>
      </c>
      <c r="L46">
        <f>K46</f>
        <v>1500500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 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Varshini suresh</cp:lastModifiedBy>
  <dcterms:created xsi:type="dcterms:W3CDTF">2026-06-14T14:40:31Z</dcterms:created>
  <dcterms:modified xsi:type="dcterms:W3CDTF">2026-06-17T16:32:14Z</dcterms:modified>
</cp:coreProperties>
</file>